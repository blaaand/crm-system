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mz\Desktop\"/>
    </mc:Choice>
  </mc:AlternateContent>
  <xr:revisionPtr revIDLastSave="0" documentId="13_ncr:1_{ADFE1783-76D3-4445-B552-FE3F87F763CD}" xr6:coauthVersionLast="47" xr6:coauthVersionMax="47" xr10:uidLastSave="{00000000-0000-0000-0000-000000000000}"/>
  <bookViews>
    <workbookView xWindow="-120" yWindow="-120" windowWidth="29040" windowHeight="15840" xr2:uid="{DF35F65E-4918-411B-9ACB-E4F43B3BBE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34" i="1" l="1"/>
  <c r="G45" i="1" s="1"/>
  <c r="C26" i="1" s="1"/>
  <c r="J3" i="1"/>
  <c r="G25" i="1" l="1"/>
  <c r="I24" i="1" s="1"/>
</calcChain>
</file>

<file path=xl/sharedStrings.xml><?xml version="1.0" encoding="utf-8"?>
<sst xmlns="http://schemas.openxmlformats.org/spreadsheetml/2006/main" count="52" uniqueCount="52">
  <si>
    <t>العميل</t>
  </si>
  <si>
    <t>الفرع</t>
  </si>
  <si>
    <t>الشركة</t>
  </si>
  <si>
    <t>تحليل إيراد سيارة</t>
  </si>
  <si>
    <t>الصنف</t>
  </si>
  <si>
    <t>البائع</t>
  </si>
  <si>
    <t>الهيكل</t>
  </si>
  <si>
    <t>مندوب البنك</t>
  </si>
  <si>
    <t>جوال المندوب</t>
  </si>
  <si>
    <t>صافى سعر البيع</t>
  </si>
  <si>
    <t>صافى سعر الشراء</t>
  </si>
  <si>
    <t>مصروفات البيع</t>
  </si>
  <si>
    <t>صافى الايراد</t>
  </si>
  <si>
    <t>عمولة البائع</t>
  </si>
  <si>
    <t>سعى المندوب</t>
  </si>
  <si>
    <t>تحمل مقدم</t>
  </si>
  <si>
    <t>تحمل مخالفات</t>
  </si>
  <si>
    <t>نسبة عروض البنوك</t>
  </si>
  <si>
    <t>قيمة عرض البنك</t>
  </si>
  <si>
    <t>أخرى</t>
  </si>
  <si>
    <t>أجمالى مصاريف البيع</t>
  </si>
  <si>
    <t>التوقيت - التاريخ</t>
  </si>
  <si>
    <t>المبيعات                                                  المشتريات                                                  المالية                                                  الادارة العامة</t>
  </si>
  <si>
    <t>المورد</t>
  </si>
  <si>
    <t>فى حالة عدم توافر السيارة بالمخزون يجب كتابة أسم المورد</t>
  </si>
  <si>
    <t>اللون</t>
  </si>
  <si>
    <t>الوصف</t>
  </si>
  <si>
    <t>لوحات مبيعات التمويل</t>
  </si>
  <si>
    <t>رقم فاتورة المبيعات</t>
  </si>
  <si>
    <t>مسلسل</t>
  </si>
  <si>
    <t>شهر</t>
  </si>
  <si>
    <t>صيانة</t>
  </si>
  <si>
    <t>مصاريف سنوات سابقة</t>
  </si>
  <si>
    <t>ضمان ممتد</t>
  </si>
  <si>
    <t>أضافات (ثلاجات)</t>
  </si>
  <si>
    <t>تجيير</t>
  </si>
  <si>
    <t>أضافات (أخرى)</t>
  </si>
  <si>
    <t>تعقيب</t>
  </si>
  <si>
    <t>رسوم المرور (لوحات)</t>
  </si>
  <si>
    <t>تعويضات عملاء</t>
  </si>
  <si>
    <t>شركـــــة رمـــــز الاختيــــــار للتجارة</t>
  </si>
  <si>
    <t>القيمة</t>
  </si>
  <si>
    <t>بيانات العميل</t>
  </si>
  <si>
    <t>بيانات عامة</t>
  </si>
  <si>
    <t>تحليل إيراد السيارة</t>
  </si>
  <si>
    <t>موظف الراجحى 100 ريال</t>
  </si>
  <si>
    <t>تحليل مصروفات السيارة</t>
  </si>
  <si>
    <t>ملاحظات إدارة المبيعات</t>
  </si>
  <si>
    <t xml:space="preserve">كول سنتر القاهرة </t>
  </si>
  <si>
    <t>مخزون</t>
  </si>
  <si>
    <t>عمولة ضمان ممتد</t>
  </si>
  <si>
    <t>نقل وشحن ال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</si>
</sst>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* #,##0.00_-;_-* #,##0.00\-;_-* &quot;-&quot;??_-;_-@_-"/>
    <numFmt numFmtId="165" formatCode="[$-1010409]d/m/yyyy\ h:mm\ AM/PM;@"/>
    <numFmt numFmtId="166" formatCode="#,##0_ ;\-#,##0\ "/>
  </numFmts>
  <fonts count="27">
    <font>
      <sz val="11"/>
      <color theme="1"/>
      <name val="Calibri"/>
      <family val="2"/>
      <charset val="178"/>
      <scheme val="minor"/>
    </font>
    <font>
      <b/>
      <sz val="23"/>
      <color theme="1"/>
      <name val="Calibri"/>
      <family val="2"/>
      <scheme val="minor"/>
    </font>
    <font>
      <b/>
      <sz val="12"/>
      <color theme="1"/>
      <name val="Dubai"/>
      <family val="2"/>
    </font>
    <font>
      <sz val="11"/>
      <color theme="1"/>
      <name val="Calibri"/>
      <family val="2"/>
      <charset val="178"/>
      <scheme val="minor"/>
    </font>
    <font>
      <sz val="12"/>
      <color theme="1"/>
      <name val="Franklin Gothic Heavy"/>
      <family val="2"/>
    </font>
    <font>
      <sz val="14"/>
      <color theme="1"/>
      <name val="Impact"/>
      <family val="2"/>
    </font>
    <font>
      <b/>
      <sz val="14"/>
      <color theme="1"/>
      <name val="Calibri Light"/>
      <family val="2"/>
    </font>
    <font>
      <b/>
      <sz val="20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2"/>
      <color theme="1"/>
      <name val="Berlin Sans FB Demi"/>
      <family val="2"/>
    </font>
    <font>
      <sz val="14"/>
      <color theme="1"/>
      <name val="FreeHand"/>
      <charset val="178"/>
    </font>
    <font>
      <sz val="18"/>
      <color theme="1"/>
      <name val="FreeHand"/>
      <charset val="178"/>
    </font>
    <font>
      <b/>
      <sz val="23"/>
      <color theme="0"/>
      <name val="Calibri"/>
      <family val="2"/>
      <scheme val="minor"/>
    </font>
    <font>
      <sz val="16"/>
      <color theme="1"/>
      <name val="Calibri"/>
      <family val="2"/>
      <charset val="178"/>
      <scheme val="minor"/>
    </font>
    <font>
      <b/>
      <sz val="24"/>
      <name val="Tahoma"/>
      <family val="2"/>
    </font>
    <font>
      <b/>
      <sz val="14"/>
      <name val="Dubai"/>
      <family val="2"/>
    </font>
    <font>
      <b/>
      <sz val="18"/>
      <name val="Calibri"/>
      <family val="2"/>
    </font>
    <font>
      <sz val="18"/>
      <name val="Showcard Gothic"/>
      <family val="5"/>
    </font>
    <font>
      <b/>
      <sz val="18"/>
      <name val="Calibri"/>
      <family val="2"/>
      <scheme val="minor"/>
    </font>
    <font>
      <sz val="12"/>
      <color theme="1"/>
      <name val="Dubai Medium"/>
      <family val="2"/>
    </font>
    <font>
      <b/>
      <sz val="14"/>
      <color theme="1"/>
      <name val="Dubai"/>
      <family val="2"/>
    </font>
    <font>
      <sz val="14"/>
      <color theme="1"/>
      <name val="Dubai"/>
      <family val="2"/>
    </font>
    <font>
      <sz val="14"/>
      <color theme="1"/>
      <name val="Calibri"/>
      <family val="2"/>
      <charset val="178"/>
      <scheme val="minor"/>
    </font>
    <font>
      <b/>
      <sz val="24"/>
      <name val="Rockwell Extra Bold"/>
      <family val="1"/>
      <charset val="178"/>
    </font>
    <font>
      <b/>
      <sz val="24"/>
      <name val="Dubai"/>
      <family val="2"/>
      <charset val="178"/>
    </font>
    <font>
      <b/>
      <sz val="24"/>
      <color theme="1"/>
      <name val="Calibri"/>
      <family val="2"/>
    </font>
    <font>
      <sz val="8"/>
      <name val="Calibri"/>
      <family val="2"/>
      <charset val="178"/>
      <scheme val="minor"/>
    </font>
  </fonts>
  <fills count="8">
    <fill>
      <patternFill patternType="none"/>
    </fill>
    <fill>
      <patternFill patternType="gray125"/>
    </fill>
    <fill>
      <patternFill patternType="solid">
        <fgColor theme="6" tint="0.59999389629810485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8" tint="0.79998168889431442"/>
        <bgColor indexed="64"/>
      </patternFill>
    </fill>
  </fills>
  <borders count="48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/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thin">
        <color indexed="64"/>
      </left>
      <right/>
      <top style="hair">
        <color indexed="64"/>
      </top>
      <bottom/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/>
    <xf numFmtId="164" fontId="3" fillId="0" borderId="0" applyFont="0" applyFill="0" applyBorder="0" applyAlignment="0" applyProtection="0"/>
    <xf numFmtId="9" fontId="3" fillId="0" borderId="0" applyFont="0" applyFill="0" applyBorder="0" applyAlignment="0" applyProtection="0"/>
  </cellStyleXfs>
  <cellXfs count="120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/>
    </xf>
    <xf numFmtId="49" fontId="2" fillId="0" borderId="0" xfId="0" applyNumberFormat="1" applyFont="1" applyAlignment="1">
      <alignment horizontal="center" vertical="center" wrapText="1"/>
    </xf>
    <xf numFmtId="0" fontId="7" fillId="0" borderId="0" xfId="0" applyFont="1" applyAlignment="1">
      <alignment horizontal="center" vertical="center" wrapText="1"/>
    </xf>
    <xf numFmtId="0" fontId="8" fillId="0" borderId="0" xfId="0" applyFont="1" applyAlignment="1">
      <alignment vertical="center"/>
    </xf>
    <xf numFmtId="9" fontId="12" fillId="0" borderId="0" xfId="2" applyFont="1" applyFill="1" applyBorder="1" applyAlignment="1">
      <alignment horizontal="center" vertical="center" wrapText="1"/>
    </xf>
    <xf numFmtId="164" fontId="4" fillId="0" borderId="0" xfId="1" applyFont="1" applyFill="1" applyBorder="1" applyAlignment="1">
      <alignment horizontal="center" vertical="center"/>
    </xf>
    <xf numFmtId="0" fontId="22" fillId="0" borderId="0" xfId="0" applyFont="1"/>
    <xf numFmtId="0" fontId="13" fillId="0" borderId="33" xfId="0" applyFont="1" applyBorder="1" applyAlignment="1">
      <alignment vertical="center"/>
    </xf>
    <xf numFmtId="0" fontId="13" fillId="0" borderId="34" xfId="0" applyFont="1" applyBorder="1" applyAlignment="1">
      <alignment vertical="center"/>
    </xf>
    <xf numFmtId="0" fontId="13" fillId="4" borderId="47" xfId="0" applyFont="1" applyFill="1" applyBorder="1" applyAlignment="1">
      <alignment horizontal="center" vertical="center"/>
    </xf>
    <xf numFmtId="0" fontId="25" fillId="0" borderId="0" xfId="0" applyFont="1" applyAlignment="1">
      <alignment horizontal="center" vertical="center" wrapText="1"/>
    </xf>
    <xf numFmtId="0" fontId="25" fillId="0" borderId="21" xfId="0" applyFont="1" applyBorder="1" applyAlignment="1">
      <alignment horizontal="center" vertical="center" wrapText="1"/>
    </xf>
    <xf numFmtId="0" fontId="18" fillId="4" borderId="30" xfId="0" applyFont="1" applyFill="1" applyBorder="1" applyAlignment="1">
      <alignment horizontal="center" vertical="center"/>
    </xf>
    <xf numFmtId="0" fontId="18" fillId="4" borderId="33" xfId="0" applyFont="1" applyFill="1" applyBorder="1" applyAlignment="1">
      <alignment horizontal="center" vertical="center"/>
    </xf>
    <xf numFmtId="0" fontId="18" fillId="4" borderId="34" xfId="0" applyFont="1" applyFill="1" applyBorder="1" applyAlignment="1">
      <alignment horizontal="center" vertical="center"/>
    </xf>
    <xf numFmtId="0" fontId="13" fillId="0" borderId="33" xfId="0" applyFont="1" applyBorder="1" applyAlignment="1">
      <alignment horizontal="center" vertical="center"/>
    </xf>
    <xf numFmtId="0" fontId="1" fillId="5" borderId="0" xfId="0" applyFont="1" applyFill="1" applyAlignment="1">
      <alignment horizontal="center" vertical="center" wrapText="1"/>
    </xf>
    <xf numFmtId="0" fontId="21" fillId="3" borderId="2" xfId="0" applyFont="1" applyFill="1" applyBorder="1" applyAlignment="1">
      <alignment horizontal="center"/>
    </xf>
    <xf numFmtId="0" fontId="21" fillId="3" borderId="4" xfId="0" applyFont="1" applyFill="1" applyBorder="1" applyAlignment="1">
      <alignment horizontal="center"/>
    </xf>
    <xf numFmtId="164" fontId="4" fillId="0" borderId="7" xfId="1" applyFont="1" applyBorder="1" applyAlignment="1">
      <alignment horizontal="center" vertical="center"/>
    </xf>
    <xf numFmtId="164" fontId="4" fillId="0" borderId="9" xfId="1" applyFont="1" applyBorder="1" applyAlignment="1">
      <alignment horizontal="center" vertical="center"/>
    </xf>
    <xf numFmtId="0" fontId="14" fillId="6" borderId="0" xfId="0" applyFont="1" applyFill="1" applyAlignment="1">
      <alignment horizontal="center" vertical="center" wrapText="1"/>
    </xf>
    <xf numFmtId="0" fontId="20" fillId="7" borderId="5" xfId="0" applyFont="1" applyFill="1" applyBorder="1" applyAlignment="1">
      <alignment horizontal="center" vertical="center" wrapText="1"/>
    </xf>
    <xf numFmtId="0" fontId="20" fillId="7" borderId="6" xfId="0" applyFont="1" applyFill="1" applyBorder="1" applyAlignment="1">
      <alignment horizontal="center" vertical="center" wrapText="1"/>
    </xf>
    <xf numFmtId="0" fontId="2" fillId="0" borderId="15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2" fillId="0" borderId="6" xfId="0" applyFont="1" applyBorder="1" applyAlignment="1">
      <alignment horizontal="center" vertical="center" wrapText="1"/>
    </xf>
    <xf numFmtId="164" fontId="16" fillId="6" borderId="24" xfId="1" applyFont="1" applyFill="1" applyBorder="1" applyAlignment="1">
      <alignment horizontal="center" vertical="center"/>
    </xf>
    <xf numFmtId="164" fontId="16" fillId="6" borderId="25" xfId="1" applyFont="1" applyFill="1" applyBorder="1" applyAlignment="1">
      <alignment horizontal="center" vertical="center"/>
    </xf>
    <xf numFmtId="164" fontId="16" fillId="6" borderId="26" xfId="1" applyFont="1" applyFill="1" applyBorder="1" applyAlignment="1">
      <alignment horizontal="center" vertical="center"/>
    </xf>
    <xf numFmtId="164" fontId="16" fillId="6" borderId="27" xfId="1" applyFont="1" applyFill="1" applyBorder="1" applyAlignment="1">
      <alignment horizontal="center" vertical="center"/>
    </xf>
    <xf numFmtId="164" fontId="16" fillId="6" borderId="22" xfId="1" applyFont="1" applyFill="1" applyBorder="1" applyAlignment="1">
      <alignment horizontal="center" vertical="center"/>
    </xf>
    <xf numFmtId="164" fontId="16" fillId="6" borderId="23" xfId="1" applyFont="1" applyFill="1" applyBorder="1" applyAlignment="1">
      <alignment horizontal="center" vertical="center"/>
    </xf>
    <xf numFmtId="164" fontId="17" fillId="6" borderId="24" xfId="1" applyFont="1" applyFill="1" applyBorder="1" applyAlignment="1">
      <alignment horizontal="center" vertical="center"/>
    </xf>
    <xf numFmtId="164" fontId="17" fillId="6" borderId="25" xfId="1" applyFont="1" applyFill="1" applyBorder="1" applyAlignment="1">
      <alignment horizontal="center" vertical="center"/>
    </xf>
    <xf numFmtId="164" fontId="17" fillId="6" borderId="26" xfId="1" applyFont="1" applyFill="1" applyBorder="1" applyAlignment="1">
      <alignment horizontal="center" vertical="center"/>
    </xf>
    <xf numFmtId="164" fontId="17" fillId="6" borderId="27" xfId="1" applyFont="1" applyFill="1" applyBorder="1" applyAlignment="1">
      <alignment horizontal="center" vertical="center"/>
    </xf>
    <xf numFmtId="164" fontId="17" fillId="6" borderId="22" xfId="1" applyFont="1" applyFill="1" applyBorder="1" applyAlignment="1">
      <alignment horizontal="center" vertical="center"/>
    </xf>
    <xf numFmtId="164" fontId="17" fillId="6" borderId="23" xfId="1" applyFont="1" applyFill="1" applyBorder="1" applyAlignment="1">
      <alignment horizontal="center" vertical="center"/>
    </xf>
    <xf numFmtId="0" fontId="20" fillId="7" borderId="2" xfId="0" applyFont="1" applyFill="1" applyBorder="1" applyAlignment="1">
      <alignment horizontal="center" vertical="center" wrapText="1"/>
    </xf>
    <xf numFmtId="0" fontId="20" fillId="7" borderId="4" xfId="0" applyFont="1" applyFill="1" applyBorder="1" applyAlignment="1">
      <alignment horizontal="center" vertical="center" wrapText="1"/>
    </xf>
    <xf numFmtId="0" fontId="20" fillId="7" borderId="14" xfId="0" applyFont="1" applyFill="1" applyBorder="1" applyAlignment="1">
      <alignment horizontal="center" vertical="center" wrapText="1"/>
    </xf>
    <xf numFmtId="0" fontId="20" fillId="7" borderId="17" xfId="0" applyFont="1" applyFill="1" applyBorder="1" applyAlignment="1">
      <alignment horizontal="center" vertical="center" wrapText="1"/>
    </xf>
    <xf numFmtId="164" fontId="5" fillId="0" borderId="16" xfId="1" applyFont="1" applyBorder="1" applyAlignment="1">
      <alignment horizontal="center" vertical="center"/>
    </xf>
    <xf numFmtId="164" fontId="5" fillId="0" borderId="17" xfId="1" applyFont="1" applyBorder="1" applyAlignment="1">
      <alignment horizontal="center" vertical="center"/>
    </xf>
    <xf numFmtId="0" fontId="20" fillId="7" borderId="12" xfId="0" applyFont="1" applyFill="1" applyBorder="1" applyAlignment="1">
      <alignment horizontal="center" vertical="center" wrapText="1"/>
    </xf>
    <xf numFmtId="0" fontId="20" fillId="7" borderId="11" xfId="0" applyFont="1" applyFill="1" applyBorder="1" applyAlignment="1">
      <alignment horizontal="center" vertical="center" wrapText="1"/>
    </xf>
    <xf numFmtId="164" fontId="5" fillId="0" borderId="29" xfId="1" applyFont="1" applyBorder="1" applyAlignment="1">
      <alignment horizontal="center" vertical="center" wrapText="1"/>
    </xf>
    <xf numFmtId="164" fontId="5" fillId="0" borderId="20" xfId="1" applyFont="1" applyBorder="1" applyAlignment="1">
      <alignment horizontal="center" vertical="center" wrapText="1"/>
    </xf>
    <xf numFmtId="164" fontId="5" fillId="0" borderId="19" xfId="1" applyFont="1" applyBorder="1" applyAlignment="1">
      <alignment horizontal="center" vertical="center" wrapText="1"/>
    </xf>
    <xf numFmtId="0" fontId="21" fillId="0" borderId="0" xfId="0" applyFont="1" applyAlignment="1">
      <alignment horizontal="center" vertical="center"/>
    </xf>
    <xf numFmtId="0" fontId="21" fillId="0" borderId="22" xfId="0" applyFont="1" applyBorder="1" applyAlignment="1">
      <alignment horizontal="center" vertical="center"/>
    </xf>
    <xf numFmtId="0" fontId="2" fillId="0" borderId="10" xfId="0" applyFont="1" applyBorder="1" applyAlignment="1">
      <alignment horizontal="center" vertical="center" wrapText="1"/>
    </xf>
    <xf numFmtId="0" fontId="2" fillId="0" borderId="11" xfId="0" applyFont="1" applyBorder="1" applyAlignment="1">
      <alignment horizontal="center" vertical="center" wrapText="1"/>
    </xf>
    <xf numFmtId="0" fontId="2" fillId="0" borderId="13" xfId="0" applyFont="1" applyBorder="1" applyAlignment="1">
      <alignment horizontal="center" vertical="center" wrapText="1"/>
    </xf>
    <xf numFmtId="0" fontId="2" fillId="0" borderId="8" xfId="0" applyFont="1" applyBorder="1" applyAlignment="1">
      <alignment horizontal="center" vertical="center" wrapText="1"/>
    </xf>
    <xf numFmtId="0" fontId="2" fillId="0" borderId="9" xfId="0" applyFont="1" applyBorder="1" applyAlignment="1">
      <alignment horizontal="center" vertical="center" wrapText="1"/>
    </xf>
    <xf numFmtId="0" fontId="2" fillId="0" borderId="18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164" fontId="5" fillId="2" borderId="22" xfId="1" applyFont="1" applyFill="1" applyBorder="1" applyAlignment="1">
      <alignment horizontal="center" vertical="center" wrapText="1"/>
    </xf>
    <xf numFmtId="164" fontId="5" fillId="2" borderId="23" xfId="1" applyFont="1" applyFill="1" applyBorder="1" applyAlignment="1">
      <alignment horizontal="center" vertical="center" wrapText="1"/>
    </xf>
    <xf numFmtId="0" fontId="2" fillId="0" borderId="27" xfId="0" applyFont="1" applyBorder="1" applyAlignment="1">
      <alignment horizontal="center" vertical="top" wrapText="1"/>
    </xf>
    <xf numFmtId="0" fontId="2" fillId="0" borderId="22" xfId="0" applyFont="1" applyBorder="1" applyAlignment="1">
      <alignment horizontal="center" vertical="top" wrapText="1"/>
    </xf>
    <xf numFmtId="0" fontId="2" fillId="0" borderId="23" xfId="0" applyFont="1" applyBorder="1" applyAlignment="1">
      <alignment horizontal="center" vertical="top" wrapText="1"/>
    </xf>
    <xf numFmtId="0" fontId="20" fillId="7" borderId="12" xfId="0" applyFont="1" applyFill="1" applyBorder="1" applyAlignment="1">
      <alignment horizontal="center" vertical="top" wrapText="1"/>
    </xf>
    <xf numFmtId="0" fontId="20" fillId="7" borderId="11" xfId="0" applyFont="1" applyFill="1" applyBorder="1" applyAlignment="1">
      <alignment horizontal="center" vertical="top" wrapText="1"/>
    </xf>
    <xf numFmtId="0" fontId="2" fillId="0" borderId="0" xfId="0" applyFont="1" applyAlignment="1">
      <alignment horizontal="center" vertical="center" wrapText="1"/>
    </xf>
    <xf numFmtId="0" fontId="2" fillId="0" borderId="21" xfId="0" applyFont="1" applyBorder="1" applyAlignment="1">
      <alignment horizontal="center" vertical="center" wrapText="1"/>
    </xf>
    <xf numFmtId="0" fontId="2" fillId="0" borderId="14" xfId="0" applyFont="1" applyBorder="1" applyAlignment="1">
      <alignment horizontal="center" vertical="center" wrapText="1"/>
    </xf>
    <xf numFmtId="0" fontId="2" fillId="0" borderId="16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center" wrapText="1"/>
    </xf>
    <xf numFmtId="49" fontId="2" fillId="0" borderId="32" xfId="0" applyNumberFormat="1" applyFont="1" applyBorder="1" applyAlignment="1">
      <alignment horizontal="center" vertical="center" wrapText="1"/>
    </xf>
    <xf numFmtId="49" fontId="2" fillId="0" borderId="33" xfId="0" applyNumberFormat="1" applyFont="1" applyBorder="1" applyAlignment="1">
      <alignment horizontal="center" vertical="center" wrapText="1"/>
    </xf>
    <xf numFmtId="49" fontId="2" fillId="0" borderId="34" xfId="0" applyNumberFormat="1" applyFont="1" applyBorder="1" applyAlignment="1">
      <alignment horizontal="center" vertical="center" wrapText="1"/>
    </xf>
    <xf numFmtId="0" fontId="2" fillId="0" borderId="28" xfId="0" applyFont="1" applyBorder="1" applyAlignment="1">
      <alignment horizontal="center" vertical="top" wrapText="1"/>
    </xf>
    <xf numFmtId="0" fontId="2" fillId="0" borderId="0" xfId="0" applyFont="1" applyAlignment="1">
      <alignment horizontal="center" vertical="top" wrapText="1"/>
    </xf>
    <xf numFmtId="0" fontId="2" fillId="0" borderId="21" xfId="0" applyFont="1" applyBorder="1" applyAlignment="1">
      <alignment horizontal="center" vertical="top" wrapText="1"/>
    </xf>
    <xf numFmtId="0" fontId="20" fillId="7" borderId="29" xfId="0" applyFont="1" applyFill="1" applyBorder="1" applyAlignment="1">
      <alignment horizontal="center" vertical="center" wrapText="1"/>
    </xf>
    <xf numFmtId="0" fontId="20" fillId="7" borderId="19" xfId="0" applyFont="1" applyFill="1" applyBorder="1" applyAlignment="1">
      <alignment horizontal="center" vertical="center" wrapText="1"/>
    </xf>
    <xf numFmtId="0" fontId="2" fillId="7" borderId="30" xfId="0" applyFont="1" applyFill="1" applyBorder="1" applyAlignment="1">
      <alignment horizontal="center" vertical="center" wrapText="1"/>
    </xf>
    <xf numFmtId="0" fontId="2" fillId="7" borderId="31" xfId="0" applyFont="1" applyFill="1" applyBorder="1" applyAlignment="1">
      <alignment horizontal="center" vertical="center" wrapText="1"/>
    </xf>
    <xf numFmtId="49" fontId="2" fillId="0" borderId="18" xfId="0" applyNumberFormat="1" applyFont="1" applyBorder="1" applyAlignment="1">
      <alignment horizontal="center" vertical="center" wrapText="1"/>
    </xf>
    <xf numFmtId="49" fontId="2" fillId="0" borderId="3" xfId="0" applyNumberFormat="1" applyFont="1" applyBorder="1" applyAlignment="1">
      <alignment horizontal="center" vertical="center" wrapText="1"/>
    </xf>
    <xf numFmtId="49" fontId="2" fillId="0" borderId="4" xfId="0" applyNumberFormat="1" applyFont="1" applyBorder="1" applyAlignment="1">
      <alignment horizontal="center" vertical="center" wrapText="1"/>
    </xf>
    <xf numFmtId="9" fontId="24" fillId="0" borderId="36" xfId="2" applyFont="1" applyFill="1" applyBorder="1" applyAlignment="1">
      <alignment horizontal="center" vertical="center" wrapText="1"/>
    </xf>
    <xf numFmtId="9" fontId="24" fillId="0" borderId="46" xfId="2" applyFont="1" applyFill="1" applyBorder="1" applyAlignment="1">
      <alignment horizontal="center" vertical="center" wrapText="1"/>
    </xf>
    <xf numFmtId="9" fontId="24" fillId="0" borderId="38" xfId="2" applyFont="1" applyFill="1" applyBorder="1" applyAlignment="1">
      <alignment horizontal="center" vertical="center" wrapText="1"/>
    </xf>
    <xf numFmtId="0" fontId="15" fillId="0" borderId="35" xfId="0" applyFont="1" applyBorder="1" applyAlignment="1">
      <alignment horizontal="center" vertical="center" wrapText="1"/>
    </xf>
    <xf numFmtId="0" fontId="15" fillId="0" borderId="36" xfId="0" applyFont="1" applyBorder="1" applyAlignment="1">
      <alignment horizontal="center" vertical="center" wrapText="1"/>
    </xf>
    <xf numFmtId="0" fontId="15" fillId="0" borderId="45" xfId="0" applyFont="1" applyBorder="1" applyAlignment="1">
      <alignment horizontal="center" vertical="center" wrapText="1"/>
    </xf>
    <xf numFmtId="0" fontId="15" fillId="0" borderId="46" xfId="0" applyFont="1" applyBorder="1" applyAlignment="1">
      <alignment horizontal="center" vertical="center" wrapText="1"/>
    </xf>
    <xf numFmtId="166" fontId="23" fillId="4" borderId="45" xfId="0" applyNumberFormat="1" applyFont="1" applyFill="1" applyBorder="1" applyAlignment="1">
      <alignment horizontal="center" vertical="center" wrapText="1"/>
    </xf>
    <xf numFmtId="166" fontId="23" fillId="4" borderId="46" xfId="0" applyNumberFormat="1" applyFont="1" applyFill="1" applyBorder="1" applyAlignment="1">
      <alignment horizontal="center" vertical="center" wrapText="1"/>
    </xf>
    <xf numFmtId="166" fontId="23" fillId="4" borderId="37" xfId="0" applyNumberFormat="1" applyFont="1" applyFill="1" applyBorder="1" applyAlignment="1">
      <alignment horizontal="center" vertical="center" wrapText="1"/>
    </xf>
    <xf numFmtId="166" fontId="23" fillId="4" borderId="38" xfId="0" applyNumberFormat="1" applyFont="1" applyFill="1" applyBorder="1" applyAlignment="1">
      <alignment horizontal="center" vertical="center" wrapText="1"/>
    </xf>
    <xf numFmtId="49" fontId="2" fillId="0" borderId="13" xfId="0" applyNumberFormat="1" applyFont="1" applyBorder="1" applyAlignment="1">
      <alignment horizontal="center" vertical="center" wrapText="1"/>
    </xf>
    <xf numFmtId="49" fontId="2" fillId="0" borderId="8" xfId="0" applyNumberFormat="1" applyFont="1" applyBorder="1" applyAlignment="1">
      <alignment horizontal="center" vertical="center" wrapText="1"/>
    </xf>
    <xf numFmtId="49" fontId="2" fillId="0" borderId="9" xfId="0" applyNumberFormat="1" applyFont="1" applyBorder="1" applyAlignment="1">
      <alignment horizontal="center" vertical="center" wrapText="1"/>
    </xf>
    <xf numFmtId="0" fontId="19" fillId="0" borderId="0" xfId="0" applyFont="1" applyAlignment="1">
      <alignment horizontal="center" vertical="center" wrapText="1"/>
    </xf>
    <xf numFmtId="0" fontId="21" fillId="3" borderId="29" xfId="0" applyFont="1" applyFill="1" applyBorder="1" applyAlignment="1">
      <alignment horizontal="center"/>
    </xf>
    <xf numFmtId="0" fontId="21" fillId="3" borderId="19" xfId="0" applyFont="1" applyFill="1" applyBorder="1" applyAlignment="1">
      <alignment horizontal="center"/>
    </xf>
    <xf numFmtId="165" fontId="6" fillId="0" borderId="24" xfId="0" applyNumberFormat="1" applyFont="1" applyBorder="1" applyAlignment="1">
      <alignment horizontal="center" vertical="center"/>
    </xf>
    <xf numFmtId="165" fontId="6" fillId="0" borderId="26" xfId="0" applyNumberFormat="1" applyFont="1" applyBorder="1" applyAlignment="1">
      <alignment horizontal="center" vertical="center"/>
    </xf>
    <xf numFmtId="165" fontId="6" fillId="0" borderId="41" xfId="0" applyNumberFormat="1" applyFont="1" applyBorder="1" applyAlignment="1">
      <alignment horizontal="center" vertical="center"/>
    </xf>
    <xf numFmtId="165" fontId="6" fillId="0" borderId="39" xfId="0" applyNumberFormat="1" applyFont="1" applyBorder="1" applyAlignment="1">
      <alignment horizontal="center" vertical="center"/>
    </xf>
    <xf numFmtId="165" fontId="9" fillId="0" borderId="42" xfId="0" applyNumberFormat="1" applyFont="1" applyBorder="1" applyAlignment="1">
      <alignment horizontal="center" vertical="center"/>
    </xf>
    <xf numFmtId="165" fontId="9" fillId="0" borderId="40" xfId="0" applyNumberFormat="1" applyFont="1" applyBorder="1" applyAlignment="1">
      <alignment horizontal="center" vertical="center"/>
    </xf>
    <xf numFmtId="165" fontId="9" fillId="0" borderId="27" xfId="0" applyNumberFormat="1" applyFont="1" applyBorder="1" applyAlignment="1">
      <alignment horizontal="center" vertical="center"/>
    </xf>
    <xf numFmtId="165" fontId="9" fillId="0" borderId="23" xfId="0" applyNumberFormat="1" applyFont="1" applyBorder="1" applyAlignment="1">
      <alignment horizontal="center" vertical="center"/>
    </xf>
    <xf numFmtId="0" fontId="11" fillId="0" borderId="2" xfId="0" applyFont="1" applyBorder="1" applyAlignment="1">
      <alignment horizontal="center" vertical="center"/>
    </xf>
    <xf numFmtId="0" fontId="11" fillId="0" borderId="44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1" fillId="0" borderId="43" xfId="0" applyFont="1" applyBorder="1" applyAlignment="1">
      <alignment horizontal="center" vertical="center"/>
    </xf>
    <xf numFmtId="0" fontId="10" fillId="0" borderId="14" xfId="0" applyFont="1" applyBorder="1" applyAlignment="1">
      <alignment horizontal="center" vertical="center"/>
    </xf>
    <xf numFmtId="0" fontId="10" fillId="0" borderId="16" xfId="0" applyFont="1" applyBorder="1" applyAlignment="1">
      <alignment horizontal="center" vertical="center"/>
    </xf>
    <xf numFmtId="0" fontId="10" fillId="0" borderId="12" xfId="0" applyFont="1" applyBorder="1" applyAlignment="1">
      <alignment horizontal="center" vertical="center"/>
    </xf>
    <xf numFmtId="0" fontId="10" fillId="0" borderId="10" xfId="0" applyFont="1" applyBorder="1" applyAlignment="1">
      <alignment horizontal="center" vertic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cap="all" spc="150" baseline="0">
                <a:solidFill>
                  <a:schemeClr val="tx1">
                    <a:lumMod val="50000"/>
                    <a:lumOff val="50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ar-SA" sz="1050" b="0" u="none">
                <a:latin typeface="Dubai" panose="020B0503030403030204" pitchFamily="34" charset="-78"/>
                <a:cs typeface="Dubai" panose="020B0503030403030204" pitchFamily="34" charset="-78"/>
              </a:rPr>
              <a:t>النسبة المئوية </a:t>
            </a:r>
            <a:endParaRPr lang="en-US" sz="1050" b="0" u="none">
              <a:latin typeface="Dubai" panose="020B0503030403030204" pitchFamily="34" charset="-78"/>
              <a:cs typeface="Dubai" panose="020B0503030403030204" pitchFamily="34" charset="-78"/>
            </a:endParaRPr>
          </a:p>
        </c:rich>
      </c:tx>
      <c:layout>
        <c:manualLayout>
          <c:xMode val="edge"/>
          <c:yMode val="edge"/>
          <c:x val="0.11136935771676747"/>
          <c:y val="3.2407287337931141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cap="all" spc="150" baseline="0">
              <a:solidFill>
                <a:schemeClr val="tx1">
                  <a:lumMod val="50000"/>
                  <a:lumOff val="50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pattFill prst="narHorz">
              <a:fgClr>
                <a:schemeClr val="accent1"/>
              </a:fgClr>
              <a:bgClr>
                <a:schemeClr val="accent1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1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Sheet1!$I$24:$I$27</c15:sqref>
                  </c15:fullRef>
                </c:ext>
              </c:extLst>
              <c:f>(Sheet1!$I$24,Sheet1!$I$27)</c:f>
              <c:numCache>
                <c:formatCode>0%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751-42B2-9B36-CE3CC48693CD}"/>
            </c:ext>
          </c:extLst>
        </c:ser>
        <c:ser>
          <c:idx val="1"/>
          <c:order val="1"/>
          <c:spPr>
            <a:pattFill prst="narHorz">
              <a:fgClr>
                <a:schemeClr val="accent2"/>
              </a:fgClr>
              <a:bgClr>
                <a:schemeClr val="accent2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2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Sheet1!$J$26:$J$27</c15:sqref>
                  </c15:fullRef>
                </c:ext>
              </c:extLst>
              <c:f>Sheet1!$J$26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1-9751-42B2-9B36-CE3CC48693CD}"/>
            </c:ext>
          </c:extLst>
        </c:ser>
        <c:ser>
          <c:idx val="2"/>
          <c:order val="2"/>
          <c:spPr>
            <a:pattFill prst="narHorz">
              <a:fgClr>
                <a:schemeClr val="accent3"/>
              </a:fgClr>
              <a:bgClr>
                <a:schemeClr val="accent3">
                  <a:lumMod val="20000"/>
                  <a:lumOff val="80000"/>
                </a:schemeClr>
              </a:bgClr>
            </a:pattFill>
            <a:ln>
              <a:noFill/>
            </a:ln>
            <a:effectLst>
              <a:innerShdw blurRad="114300">
                <a:schemeClr val="accent3"/>
              </a:inn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Lit>
              <c:ptCount val="2"/>
              <c:pt idx="0">
                <c:v>1</c:v>
              </c:pt>
              <c:pt idx="1">
                <c:v>3</c:v>
              </c:pt>
              <c:pt idx="2">
                <c:v>4</c:v>
              </c:pt>
              <c:extLst>
                <c:ext xmlns:c15="http://schemas.microsoft.com/office/drawing/2012/chart" uri="{02D57815-91ED-43cb-92C2-25804820EDAC}">
                  <c15:autoCat val="1"/>
                </c:ext>
              </c:extLst>
            </c:strLit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Sheet1!$K$26:$K$27</c15:sqref>
                  </c15:fullRef>
                </c:ext>
              </c:extLst>
              <c:f>Sheet1!$K$26</c:f>
              <c:numCache>
                <c:formatCode>General</c:formatCode>
                <c:ptCount val="1"/>
              </c:numCache>
            </c:numRef>
          </c:val>
          <c:extLst>
            <c:ext xmlns:c16="http://schemas.microsoft.com/office/drawing/2014/chart" uri="{C3380CC4-5D6E-409C-BE32-E72D297353CC}">
              <c16:uniqueId val="{00000002-9751-42B2-9B36-CE3CC48693C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4"/>
        <c:overlap val="-22"/>
        <c:axId val="496468168"/>
        <c:axId val="496471776"/>
      </c:barChart>
      <c:catAx>
        <c:axId val="496468168"/>
        <c:scaling>
          <c:orientation val="maxMin"/>
        </c:scaling>
        <c:delete val="1"/>
        <c:axPos val="b"/>
        <c:numFmt formatCode="General" sourceLinked="1"/>
        <c:majorTickMark val="none"/>
        <c:minorTickMark val="none"/>
        <c:tickLblPos val="nextTo"/>
        <c:crossAx val="496471776"/>
        <c:crosses val="autoZero"/>
        <c:auto val="1"/>
        <c:lblAlgn val="ctr"/>
        <c:lblOffset val="100"/>
        <c:noMultiLvlLbl val="0"/>
      </c:catAx>
      <c:valAx>
        <c:axId val="496471776"/>
        <c:scaling>
          <c:orientation val="minMax"/>
        </c:scaling>
        <c:delete val="0"/>
        <c:axPos val="r"/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9646816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 paperSize="9" orientation="landscape"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3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b="1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9050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dk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>
      <cs:styleClr val="auto"/>
    </cs:effectRef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pattFill prst="narHorz">
        <a:fgClr>
          <a:schemeClr val="phClr"/>
        </a:fgClr>
        <a:bgClr>
          <a:schemeClr val="phClr">
            <a:lumMod val="20000"/>
            <a:lumOff val="80000"/>
          </a:schemeClr>
        </a:bgClr>
      </a:pattFill>
      <a:effectLst>
        <a:innerShdw blurRad="114300">
          <a:schemeClr val="phClr"/>
        </a:inn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75000"/>
          <a:lumOff val="25000"/>
        </a:schemeClr>
      </a:solidFill>
      <a:ln w="9525">
        <a:solidFill>
          <a:schemeClr val="tx1">
            <a:lumMod val="50000"/>
            <a:lumOff val="50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tx1">
            <a:lumMod val="50000"/>
            <a:lumOff val="50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>
        <a:solidFill>
          <a:schemeClr val="tx1">
            <a:lumMod val="15000"/>
            <a:lumOff val="85000"/>
          </a:schemeClr>
        </a:solidFill>
      </a:ln>
    </cs:spPr>
  </cs:gridlineMajor>
  <cs:gridlineMinor>
    <cs:lnRef idx="0"/>
    <cs:fillRef idx="0"/>
    <cs:effectRef idx="0"/>
    <cs:fontRef idx="minor">
      <a:schemeClr val="dk1"/>
    </cs:fontRef>
    <cs:spPr>
      <a:ln>
        <a:solidFill>
          <a:schemeClr val="tx1">
            <a:lumMod val="5000"/>
            <a:lumOff val="95000"/>
          </a:schemeClr>
        </a:soli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dk1"/>
    </cs:fontRef>
  </cs:plotArea>
  <cs:plotArea3D mods="allowNoFillOverride allowNoLineOverride"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50000"/>
        <a:lumOff val="50000"/>
      </a:schemeClr>
    </cs:fontRef>
    <cs:defRPr sz="1800" b="1" kern="1200" cap="all" spc="15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50000"/>
            <a:lumOff val="50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dk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7.png"/><Relationship Id="rId13" Type="http://schemas.openxmlformats.org/officeDocument/2006/relationships/image" Target="../media/image12.svg"/><Relationship Id="rId3" Type="http://schemas.openxmlformats.org/officeDocument/2006/relationships/chart" Target="../charts/chart1.xml"/><Relationship Id="rId7" Type="http://schemas.openxmlformats.org/officeDocument/2006/relationships/image" Target="../media/image6.svg"/><Relationship Id="rId12" Type="http://schemas.openxmlformats.org/officeDocument/2006/relationships/image" Target="../media/image11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5.png"/><Relationship Id="rId11" Type="http://schemas.openxmlformats.org/officeDocument/2006/relationships/image" Target="../media/image10.svg"/><Relationship Id="rId5" Type="http://schemas.openxmlformats.org/officeDocument/2006/relationships/image" Target="../media/image4.png"/><Relationship Id="rId10" Type="http://schemas.openxmlformats.org/officeDocument/2006/relationships/image" Target="../media/image9.png"/><Relationship Id="rId4" Type="http://schemas.openxmlformats.org/officeDocument/2006/relationships/image" Target="../media/image3.png"/><Relationship Id="rId9" Type="http://schemas.openxmlformats.org/officeDocument/2006/relationships/image" Target="../media/image8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111580</xdr:colOff>
      <xdr:row>56</xdr:row>
      <xdr:rowOff>152517</xdr:rowOff>
    </xdr:from>
    <xdr:to>
      <xdr:col>9</xdr:col>
      <xdr:colOff>794657</xdr:colOff>
      <xdr:row>59</xdr:row>
      <xdr:rowOff>95246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BC23B23-B9DB-4E1F-9C74-206216A66F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/>
      </xdr:blipFill>
      <xdr:spPr bwMode="auto">
        <a:xfrm>
          <a:off x="10694030464" y="13814088"/>
          <a:ext cx="9222920" cy="51422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0</xdr:col>
      <xdr:colOff>0</xdr:colOff>
      <xdr:row>0</xdr:row>
      <xdr:rowOff>0</xdr:rowOff>
    </xdr:from>
    <xdr:to>
      <xdr:col>1</xdr:col>
      <xdr:colOff>544285</xdr:colOff>
      <xdr:row>4</xdr:row>
      <xdr:rowOff>39461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2ECCCB42-81AD-4D16-8E01-6581656B5ECE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01963429" y="0"/>
          <a:ext cx="1401535" cy="1073604"/>
        </a:xfrm>
        <a:prstGeom prst="rect">
          <a:avLst/>
        </a:prstGeom>
      </xdr:spPr>
    </xdr:pic>
    <xdr:clientData/>
  </xdr:twoCellAnchor>
  <xdr:twoCellAnchor>
    <xdr:from>
      <xdr:col>9</xdr:col>
      <xdr:colOff>195943</xdr:colOff>
      <xdr:row>21</xdr:row>
      <xdr:rowOff>0</xdr:rowOff>
    </xdr:from>
    <xdr:to>
      <xdr:col>10</xdr:col>
      <xdr:colOff>772205</xdr:colOff>
      <xdr:row>28</xdr:row>
      <xdr:rowOff>23812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A4D5ABB6-B5B5-47C2-A0BC-031CBC38C2E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8</xdr:col>
      <xdr:colOff>421820</xdr:colOff>
      <xdr:row>53</xdr:row>
      <xdr:rowOff>149675</xdr:rowOff>
    </xdr:from>
    <xdr:to>
      <xdr:col>9</xdr:col>
      <xdr:colOff>753835</xdr:colOff>
      <xdr:row>56</xdr:row>
      <xdr:rowOff>74533</xdr:rowOff>
    </xdr:to>
    <xdr:pic>
      <xdr:nvPicPr>
        <xdr:cNvPr id="7" name="Picture 6">
          <a:extLst>
            <a:ext uri="{FF2B5EF4-FFF2-40B4-BE49-F238E27FC236}">
              <a16:creationId xmlns:a16="http://schemas.microsoft.com/office/drawing/2014/main" id="{DCCC83C2-34C7-4FA1-AD83-AA93266E30C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4071286" y="13239746"/>
          <a:ext cx="2013858" cy="496358"/>
        </a:xfrm>
        <a:prstGeom prst="rect">
          <a:avLst/>
        </a:prstGeom>
      </xdr:spPr>
    </xdr:pic>
    <xdr:clientData/>
  </xdr:twoCellAnchor>
  <xdr:twoCellAnchor editAs="oneCell">
    <xdr:from>
      <xdr:col>0</xdr:col>
      <xdr:colOff>-57999086</xdr:colOff>
      <xdr:row>55</xdr:row>
      <xdr:rowOff>151161</xdr:rowOff>
    </xdr:from>
    <xdr:to>
      <xdr:col>0</xdr:col>
      <xdr:colOff>-54627140</xdr:colOff>
      <xdr:row>56</xdr:row>
      <xdr:rowOff>108827</xdr:rowOff>
    </xdr:to>
    <xdr:pic>
      <xdr:nvPicPr>
        <xdr:cNvPr id="13" name="Picture 12">
          <a:extLst>
            <a:ext uri="{FF2B5EF4-FFF2-40B4-BE49-F238E27FC236}">
              <a16:creationId xmlns:a16="http://schemas.microsoft.com/office/drawing/2014/main" id="{0C99EAC7-0961-4053-AE31-364D5F5393D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7992104" y="13907982"/>
          <a:ext cx="3371946" cy="148166"/>
        </a:xfrm>
        <a:prstGeom prst="rect">
          <a:avLst/>
        </a:prstGeom>
      </xdr:spPr>
    </xdr:pic>
    <xdr:clientData/>
  </xdr:twoCellAnchor>
  <xdr:twoCellAnchor editAs="oneCell">
    <xdr:from>
      <xdr:col>0</xdr:col>
      <xdr:colOff>-58151486</xdr:colOff>
      <xdr:row>56</xdr:row>
      <xdr:rowOff>113061</xdr:rowOff>
    </xdr:from>
    <xdr:to>
      <xdr:col>0</xdr:col>
      <xdr:colOff>-54779540</xdr:colOff>
      <xdr:row>57</xdr:row>
      <xdr:rowOff>70727</xdr:rowOff>
    </xdr:to>
    <xdr:pic>
      <xdr:nvPicPr>
        <xdr:cNvPr id="14" name="Picture 13">
          <a:extLst>
            <a:ext uri="{FF2B5EF4-FFF2-40B4-BE49-F238E27FC236}">
              <a16:creationId xmlns:a16="http://schemas.microsoft.com/office/drawing/2014/main" id="{E357BC3F-0F44-4118-8ADE-A56155C401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758144504" y="14060382"/>
          <a:ext cx="3371946" cy="148166"/>
        </a:xfrm>
        <a:prstGeom prst="rect">
          <a:avLst/>
        </a:prstGeom>
      </xdr:spPr>
    </xdr:pic>
    <xdr:clientData/>
  </xdr:twoCellAnchor>
  <xdr:twoCellAnchor editAs="oneCell">
    <xdr:from>
      <xdr:col>3</xdr:col>
      <xdr:colOff>449034</xdr:colOff>
      <xdr:row>57</xdr:row>
      <xdr:rowOff>68031</xdr:rowOff>
    </xdr:from>
    <xdr:to>
      <xdr:col>7</xdr:col>
      <xdr:colOff>775607</xdr:colOff>
      <xdr:row>58</xdr:row>
      <xdr:rowOff>149676</xdr:rowOff>
    </xdr:to>
    <xdr:pic>
      <xdr:nvPicPr>
        <xdr:cNvPr id="15" name="Picture 14">
          <a:extLst>
            <a:ext uri="{FF2B5EF4-FFF2-40B4-BE49-F238E27FC236}">
              <a16:creationId xmlns:a16="http://schemas.microsoft.com/office/drawing/2014/main" id="{E6632F75-9763-4655-B109-EDEC6B10C03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0696588607" y="13920102"/>
          <a:ext cx="3755573" cy="272145"/>
        </a:xfrm>
        <a:prstGeom prst="rect">
          <a:avLst/>
        </a:prstGeom>
      </xdr:spPr>
    </xdr:pic>
    <xdr:clientData/>
  </xdr:twoCellAnchor>
  <xdr:twoCellAnchor>
    <xdr:from>
      <xdr:col>7</xdr:col>
      <xdr:colOff>843643</xdr:colOff>
      <xdr:row>57</xdr:row>
      <xdr:rowOff>27211</xdr:rowOff>
    </xdr:from>
    <xdr:to>
      <xdr:col>10</xdr:col>
      <xdr:colOff>693964</xdr:colOff>
      <xdr:row>58</xdr:row>
      <xdr:rowOff>190497</xdr:rowOff>
    </xdr:to>
    <xdr:sp macro="" textlink="">
      <xdr:nvSpPr>
        <xdr:cNvPr id="17" name="Rectangle 16">
          <a:extLst>
            <a:ext uri="{FF2B5EF4-FFF2-40B4-BE49-F238E27FC236}">
              <a16:creationId xmlns:a16="http://schemas.microsoft.com/office/drawing/2014/main" id="{D5611DC7-B32A-4540-8A50-0C717EBF2BB9}"/>
            </a:ext>
          </a:extLst>
        </xdr:cNvPr>
        <xdr:cNvSpPr/>
      </xdr:nvSpPr>
      <xdr:spPr>
        <a:xfrm>
          <a:off x="10694098500" y="13879282"/>
          <a:ext cx="2422071" cy="353786"/>
        </a:xfrm>
        <a:prstGeom prst="rect">
          <a:avLst/>
        </a:prstGeom>
        <a:noFill/>
        <a:ln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rtlCol="0" anchor="ctr"/>
        <a:lstStyle/>
        <a:p>
          <a:pPr algn="ctr" rtl="1"/>
          <a:r>
            <a:rPr lang="ar-SA" sz="1600" b="1">
              <a:solidFill>
                <a:schemeClr val="bg1"/>
              </a:solidFill>
              <a:latin typeface="Arial (Body)"/>
            </a:rPr>
            <a:t>س.ت</a:t>
          </a:r>
          <a:r>
            <a:rPr lang="ar-SA" sz="1600" b="1" baseline="0">
              <a:solidFill>
                <a:schemeClr val="bg1"/>
              </a:solidFill>
              <a:latin typeface="Arial (Body)"/>
            </a:rPr>
            <a:t>:</a:t>
          </a:r>
          <a:r>
            <a:rPr lang="ar-SA" sz="1400" b="1" baseline="0">
              <a:solidFill>
                <a:schemeClr val="bg1"/>
              </a:solidFill>
              <a:latin typeface="Arial (Body)"/>
            </a:rPr>
            <a:t>1010401164</a:t>
          </a:r>
          <a:endParaRPr lang="en-US" sz="1400" b="1">
            <a:solidFill>
              <a:schemeClr val="bg1"/>
            </a:solidFill>
            <a:latin typeface="Arial (Body)"/>
          </a:endParaRPr>
        </a:p>
      </xdr:txBody>
    </xdr:sp>
    <xdr:clientData/>
  </xdr:twoCellAnchor>
  <xdr:twoCellAnchor editAs="oneCell">
    <xdr:from>
      <xdr:col>4</xdr:col>
      <xdr:colOff>244928</xdr:colOff>
      <xdr:row>21</xdr:row>
      <xdr:rowOff>0</xdr:rowOff>
    </xdr:from>
    <xdr:to>
      <xdr:col>4</xdr:col>
      <xdr:colOff>688652</xdr:colOff>
      <xdr:row>22</xdr:row>
      <xdr:rowOff>30067</xdr:rowOff>
    </xdr:to>
    <xdr:pic>
      <xdr:nvPicPr>
        <xdr:cNvPr id="18" name="Graphic 17" descr="Statistics">
          <a:extLst>
            <a:ext uri="{FF2B5EF4-FFF2-40B4-BE49-F238E27FC236}">
              <a16:creationId xmlns:a16="http://schemas.microsoft.com/office/drawing/2014/main" id="{0CE45F79-879A-4DD9-8893-ABD7F4E69D71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>
          <a:extLst>
            <a:ext uri="{96DAC541-7B7A-43D3-8B79-37D633B846F1}">
              <asvg:svgBlip xmlns:asvg="http://schemas.microsoft.com/office/drawing/2016/SVG/main" r:embed="rId7"/>
            </a:ext>
          </a:extLst>
        </a:blip>
        <a:stretch>
          <a:fillRect/>
        </a:stretch>
      </xdr:blipFill>
      <xdr:spPr>
        <a:xfrm>
          <a:off x="10699247312" y="5048250"/>
          <a:ext cx="443724" cy="424674"/>
        </a:xfrm>
        <a:prstGeom prst="rect">
          <a:avLst/>
        </a:prstGeom>
      </xdr:spPr>
    </xdr:pic>
    <xdr:clientData/>
  </xdr:twoCellAnchor>
  <xdr:oneCellAnchor>
    <xdr:from>
      <xdr:col>4</xdr:col>
      <xdr:colOff>204108</xdr:colOff>
      <xdr:row>15</xdr:row>
      <xdr:rowOff>81643</xdr:rowOff>
    </xdr:from>
    <xdr:ext cx="390807" cy="386573"/>
    <xdr:pic>
      <xdr:nvPicPr>
        <xdr:cNvPr id="20" name="Graphic 19" descr="User">
          <a:extLst>
            <a:ext uri="{FF2B5EF4-FFF2-40B4-BE49-F238E27FC236}">
              <a16:creationId xmlns:a16="http://schemas.microsoft.com/office/drawing/2014/main" id="{94275C6C-5925-4B0E-AED2-3E747C473F1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>
          <a:extLst>
            <a:ext uri="{96DAC541-7B7A-43D3-8B79-37D633B846F1}">
              <asvg:svgBlip xmlns:asvg="http://schemas.microsoft.com/office/drawing/2016/SVG/main" r:embed="rId9"/>
            </a:ext>
          </a:extLst>
        </a:blip>
        <a:stretch>
          <a:fillRect/>
        </a:stretch>
      </xdr:blipFill>
      <xdr:spPr>
        <a:xfrm>
          <a:off x="10699341049" y="1768929"/>
          <a:ext cx="390807" cy="386573"/>
        </a:xfrm>
        <a:prstGeom prst="rect">
          <a:avLst/>
        </a:prstGeom>
      </xdr:spPr>
    </xdr:pic>
    <xdr:clientData/>
  </xdr:oneCellAnchor>
  <xdr:twoCellAnchor editAs="oneCell">
    <xdr:from>
      <xdr:col>4</xdr:col>
      <xdr:colOff>122464</xdr:colOff>
      <xdr:row>6</xdr:row>
      <xdr:rowOff>81642</xdr:rowOff>
    </xdr:from>
    <xdr:to>
      <xdr:col>4</xdr:col>
      <xdr:colOff>653143</xdr:colOff>
      <xdr:row>8</xdr:row>
      <xdr:rowOff>29935</xdr:rowOff>
    </xdr:to>
    <xdr:pic>
      <xdr:nvPicPr>
        <xdr:cNvPr id="25" name="Graphic 24" descr="Address Book with solid fill">
          <a:extLst>
            <a:ext uri="{FF2B5EF4-FFF2-40B4-BE49-F238E27FC236}">
              <a16:creationId xmlns:a16="http://schemas.microsoft.com/office/drawing/2014/main" id="{5C7C9254-A570-3D98-5CB3-C9A4F06D53F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>
          <a:extLst>
            <a:ext uri="{96DAC541-7B7A-43D3-8B79-37D633B846F1}">
              <asvg:svgBlip xmlns:asvg="http://schemas.microsoft.com/office/drawing/2016/SVG/main" r:embed="rId11"/>
            </a:ext>
          </a:extLst>
        </a:blip>
        <a:stretch>
          <a:fillRect/>
        </a:stretch>
      </xdr:blipFill>
      <xdr:spPr>
        <a:xfrm>
          <a:off x="10699282821" y="1768928"/>
          <a:ext cx="530679" cy="451757"/>
        </a:xfrm>
        <a:prstGeom prst="rect">
          <a:avLst/>
        </a:prstGeom>
      </xdr:spPr>
    </xdr:pic>
    <xdr:clientData/>
  </xdr:twoCellAnchor>
  <xdr:twoCellAnchor editAs="oneCell">
    <xdr:from>
      <xdr:col>4</xdr:col>
      <xdr:colOff>258536</xdr:colOff>
      <xdr:row>26</xdr:row>
      <xdr:rowOff>84363</xdr:rowOff>
    </xdr:from>
    <xdr:to>
      <xdr:col>4</xdr:col>
      <xdr:colOff>721179</xdr:colOff>
      <xdr:row>28</xdr:row>
      <xdr:rowOff>43542</xdr:rowOff>
    </xdr:to>
    <xdr:pic>
      <xdr:nvPicPr>
        <xdr:cNvPr id="28" name="Graphic 27" descr="Bar chart with solid fill">
          <a:extLst>
            <a:ext uri="{FF2B5EF4-FFF2-40B4-BE49-F238E27FC236}">
              <a16:creationId xmlns:a16="http://schemas.microsoft.com/office/drawing/2014/main" id="{B1E434BF-16A7-BE7D-28B5-3AD4FEB9FD6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>
          <a:extLst>
            <a:ext uri="{96DAC541-7B7A-43D3-8B79-37D633B846F1}">
              <asvg:svgBlip xmlns:asvg="http://schemas.microsoft.com/office/drawing/2016/SVG/main" r:embed="rId13"/>
            </a:ext>
          </a:extLst>
        </a:blip>
        <a:stretch>
          <a:fillRect/>
        </a:stretch>
      </xdr:blipFill>
      <xdr:spPr>
        <a:xfrm>
          <a:off x="10699214785" y="6574970"/>
          <a:ext cx="462643" cy="462643"/>
        </a:xfrm>
        <a:prstGeom prst="rect">
          <a:avLst/>
        </a:prstGeom>
      </xdr:spPr>
    </xdr:pic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626DA2-8047-4579-8841-7DAF0913275E}">
  <dimension ref="A1:K50"/>
  <sheetViews>
    <sheetView rightToLeft="1" tabSelected="1" showWhiteSpace="0" view="pageLayout" zoomScaleNormal="100" workbookViewId="0">
      <selection activeCell="F43" sqref="F43"/>
    </sheetView>
  </sheetViews>
  <sheetFormatPr defaultRowHeight="15"/>
  <cols>
    <col min="1" max="8" width="12" customWidth="1"/>
    <col min="9" max="9" width="23.28515625" customWidth="1"/>
    <col min="10" max="11" width="12" customWidth="1"/>
    <col min="12" max="12" width="9.42578125" customWidth="1"/>
  </cols>
  <sheetData>
    <row r="1" spans="1:11" ht="20.25" customHeight="1">
      <c r="C1" s="12" t="s">
        <v>40</v>
      </c>
      <c r="D1" s="12"/>
      <c r="E1" s="12"/>
      <c r="F1" s="12"/>
      <c r="G1" s="13"/>
      <c r="H1" s="112" t="s">
        <v>30</v>
      </c>
      <c r="I1" s="113"/>
      <c r="J1" s="104" t="s">
        <v>21</v>
      </c>
      <c r="K1" s="105"/>
    </row>
    <row r="2" spans="1:11" ht="20.25" customHeight="1">
      <c r="C2" s="12"/>
      <c r="D2" s="12"/>
      <c r="E2" s="12"/>
      <c r="F2" s="12"/>
      <c r="G2" s="13"/>
      <c r="H2" s="116"/>
      <c r="I2" s="117"/>
      <c r="J2" s="106"/>
      <c r="K2" s="107"/>
    </row>
    <row r="3" spans="1:11" ht="20.25" customHeight="1">
      <c r="C3" s="12"/>
      <c r="D3" s="12"/>
      <c r="E3" s="12"/>
      <c r="F3" s="12"/>
      <c r="G3" s="13"/>
      <c r="H3" s="114" t="s">
        <v>29</v>
      </c>
      <c r="I3" s="115"/>
      <c r="J3" s="108">
        <f ca="1">+TODAY()</f>
        <v>45960</v>
      </c>
      <c r="K3" s="109"/>
    </row>
    <row r="4" spans="1:11" ht="20.25" customHeight="1">
      <c r="C4" s="12"/>
      <c r="D4" s="12"/>
      <c r="E4" s="12"/>
      <c r="F4" s="12"/>
      <c r="G4" s="13"/>
      <c r="H4" s="118"/>
      <c r="I4" s="119"/>
      <c r="J4" s="110"/>
      <c r="K4" s="111"/>
    </row>
    <row r="5" spans="1:11" s="2" customFormat="1" ht="9" customHeight="1">
      <c r="A5" s="1"/>
      <c r="B5" s="1"/>
      <c r="C5" s="1"/>
      <c r="D5" s="1"/>
      <c r="E5" s="1"/>
      <c r="F5" s="1"/>
      <c r="G5" s="1"/>
      <c r="H5" s="1"/>
      <c r="I5" s="1"/>
      <c r="J5" s="1"/>
    </row>
    <row r="6" spans="1:11" ht="42.75" customHeight="1">
      <c r="A6" s="23" t="s">
        <v>3</v>
      </c>
      <c r="B6" s="23"/>
      <c r="C6" s="23"/>
      <c r="D6" s="23"/>
      <c r="E6" s="23"/>
      <c r="F6" s="23"/>
      <c r="G6" s="23"/>
      <c r="H6" s="23"/>
      <c r="I6" s="23"/>
      <c r="J6" s="23"/>
      <c r="K6" s="23"/>
    </row>
    <row r="7" spans="1:11" s="2" customFormat="1" ht="9" customHeight="1">
      <c r="A7" s="1"/>
      <c r="B7" s="1"/>
      <c r="C7" s="1"/>
      <c r="D7" s="1"/>
      <c r="E7" s="1"/>
      <c r="F7" s="1"/>
      <c r="G7" s="1"/>
      <c r="H7" s="1"/>
      <c r="I7" s="1"/>
      <c r="J7" s="1"/>
    </row>
    <row r="8" spans="1:11" s="2" customFormat="1" ht="31.5" customHeight="1">
      <c r="A8" s="18" t="s">
        <v>43</v>
      </c>
      <c r="B8" s="18"/>
      <c r="C8" s="18"/>
      <c r="D8" s="18"/>
      <c r="E8" s="18"/>
      <c r="F8" s="1"/>
      <c r="G8" s="4"/>
      <c r="H8" s="4"/>
      <c r="I8" s="4"/>
      <c r="J8" s="4"/>
      <c r="K8" s="5"/>
    </row>
    <row r="9" spans="1:11" s="2" customFormat="1" ht="9" customHeight="1">
      <c r="A9" s="1"/>
      <c r="B9" s="1"/>
      <c r="C9" s="1"/>
      <c r="D9" s="1"/>
      <c r="E9" s="1"/>
      <c r="F9" s="1"/>
      <c r="G9" s="1"/>
      <c r="H9" s="1"/>
      <c r="I9" s="1"/>
      <c r="J9" s="1"/>
    </row>
    <row r="10" spans="1:11" s="2" customFormat="1" ht="19.5" customHeight="1">
      <c r="A10" s="41" t="s">
        <v>1</v>
      </c>
      <c r="B10" s="42"/>
      <c r="C10" s="59" t="s">
        <v>48</v>
      </c>
      <c r="D10" s="60"/>
      <c r="E10" s="61"/>
      <c r="G10" s="41" t="s">
        <v>6</v>
      </c>
      <c r="H10" s="42"/>
      <c r="I10" s="59"/>
      <c r="J10" s="60"/>
      <c r="K10" s="61"/>
    </row>
    <row r="11" spans="1:11" s="2" customFormat="1" ht="19.5" customHeight="1">
      <c r="A11" s="24" t="s">
        <v>28</v>
      </c>
      <c r="B11" s="25"/>
      <c r="C11" s="26"/>
      <c r="D11" s="27"/>
      <c r="E11" s="28"/>
      <c r="G11" s="24" t="s">
        <v>4</v>
      </c>
      <c r="H11" s="25"/>
      <c r="I11" s="71"/>
      <c r="J11" s="72"/>
      <c r="K11" s="73"/>
    </row>
    <row r="12" spans="1:11" s="2" customFormat="1" ht="19.5" customHeight="1">
      <c r="A12" s="47" t="s">
        <v>5</v>
      </c>
      <c r="B12" s="48"/>
      <c r="C12" s="54"/>
      <c r="D12" s="54"/>
      <c r="E12" s="55"/>
      <c r="G12" s="24" t="s">
        <v>25</v>
      </c>
      <c r="H12" s="25"/>
      <c r="I12" s="26"/>
      <c r="J12" s="27"/>
      <c r="K12" s="28"/>
    </row>
    <row r="13" spans="1:11" s="2" customFormat="1" ht="19.5" customHeight="1">
      <c r="A13" s="52" t="s">
        <v>24</v>
      </c>
      <c r="B13" s="52"/>
      <c r="C13" s="52"/>
      <c r="D13" s="52"/>
      <c r="E13" s="52"/>
      <c r="F13" s="1"/>
      <c r="G13" s="67" t="s">
        <v>26</v>
      </c>
      <c r="H13" s="68"/>
      <c r="I13" s="69"/>
      <c r="J13" s="69"/>
      <c r="K13" s="70"/>
    </row>
    <row r="14" spans="1:11" s="2" customFormat="1" ht="19.5" customHeight="1">
      <c r="A14" s="53"/>
      <c r="B14" s="53"/>
      <c r="C14" s="53"/>
      <c r="D14" s="53"/>
      <c r="E14" s="53"/>
      <c r="F14" s="1"/>
      <c r="G14" s="77"/>
      <c r="H14" s="78"/>
      <c r="I14" s="78"/>
      <c r="J14" s="78"/>
      <c r="K14" s="79"/>
    </row>
    <row r="15" spans="1:11" s="2" customFormat="1" ht="19.5" customHeight="1">
      <c r="A15" s="82" t="s">
        <v>23</v>
      </c>
      <c r="B15" s="83"/>
      <c r="C15" s="74" t="s">
        <v>49</v>
      </c>
      <c r="D15" s="75"/>
      <c r="E15" s="76"/>
      <c r="F15" s="1"/>
      <c r="G15" s="64"/>
      <c r="H15" s="65"/>
      <c r="I15" s="65"/>
      <c r="J15" s="65"/>
      <c r="K15" s="66"/>
    </row>
    <row r="16" spans="1:11" s="2" customFormat="1" ht="9" customHeight="1">
      <c r="A16" s="1"/>
      <c r="B16" s="3"/>
      <c r="C16" s="3"/>
      <c r="D16" s="3"/>
      <c r="E16" s="3"/>
      <c r="F16" s="3"/>
      <c r="G16" s="3"/>
      <c r="H16" s="3"/>
      <c r="I16" s="3"/>
      <c r="J16" s="3"/>
      <c r="K16" s="3"/>
    </row>
    <row r="17" spans="1:11" s="2" customFormat="1" ht="31.5" customHeight="1">
      <c r="A17" s="18" t="s">
        <v>42</v>
      </c>
      <c r="B17" s="18"/>
      <c r="C17" s="18"/>
      <c r="D17" s="18"/>
      <c r="E17" s="18"/>
    </row>
    <row r="18" spans="1:11" s="2" customFormat="1" ht="13.5" customHeight="1">
      <c r="A18" s="1"/>
      <c r="B18" s="1"/>
      <c r="C18" s="1"/>
      <c r="D18" s="1"/>
      <c r="E18" s="1"/>
      <c r="F18" s="1"/>
      <c r="G18" s="1"/>
      <c r="H18" s="1"/>
      <c r="I18" s="1"/>
      <c r="J18" s="1"/>
    </row>
    <row r="19" spans="1:11" s="2" customFormat="1" ht="19.5" customHeight="1">
      <c r="A19" s="41" t="s">
        <v>2</v>
      </c>
      <c r="B19" s="42"/>
      <c r="C19" s="59"/>
      <c r="D19" s="60"/>
      <c r="E19" s="61"/>
      <c r="G19" s="41" t="s">
        <v>7</v>
      </c>
      <c r="H19" s="42"/>
      <c r="I19" s="84"/>
      <c r="J19" s="85"/>
      <c r="K19" s="86"/>
    </row>
    <row r="20" spans="1:11" s="2" customFormat="1" ht="19.5" customHeight="1">
      <c r="A20" s="47" t="s">
        <v>0</v>
      </c>
      <c r="B20" s="48"/>
      <c r="C20" s="56"/>
      <c r="D20" s="57"/>
      <c r="E20" s="58"/>
      <c r="G20" s="47" t="s">
        <v>8</v>
      </c>
      <c r="H20" s="48"/>
      <c r="I20" s="98"/>
      <c r="J20" s="99"/>
      <c r="K20" s="100"/>
    </row>
    <row r="21" spans="1:11" s="2" customFormat="1" ht="9" customHeight="1">
      <c r="A21" s="1"/>
      <c r="B21" s="1"/>
      <c r="C21" s="1"/>
      <c r="D21" s="1"/>
      <c r="E21" s="1"/>
      <c r="F21" s="1"/>
      <c r="G21" s="1"/>
      <c r="H21" s="1"/>
      <c r="I21" s="1"/>
      <c r="J21" s="1"/>
    </row>
    <row r="22" spans="1:11" s="2" customFormat="1" ht="31.5" customHeight="1" thickBot="1">
      <c r="A22" s="18" t="s">
        <v>44</v>
      </c>
      <c r="B22" s="18"/>
      <c r="C22" s="18"/>
      <c r="D22" s="18"/>
      <c r="E22" s="18"/>
    </row>
    <row r="23" spans="1:11" s="2" customFormat="1" ht="9" customHeight="1" thickBot="1">
      <c r="A23" s="1"/>
      <c r="B23" s="1"/>
      <c r="C23" s="1"/>
      <c r="D23" s="1"/>
      <c r="E23" s="1"/>
      <c r="F23" s="1"/>
      <c r="G23" s="90" t="s">
        <v>12</v>
      </c>
      <c r="H23" s="91"/>
      <c r="I23" s="1"/>
    </row>
    <row r="24" spans="1:11" s="2" customFormat="1" ht="21.75" customHeight="1">
      <c r="A24" s="80" t="s">
        <v>9</v>
      </c>
      <c r="B24" s="81"/>
      <c r="C24" s="49"/>
      <c r="D24" s="50"/>
      <c r="E24" s="51"/>
      <c r="G24" s="92"/>
      <c r="H24" s="93"/>
      <c r="I24" s="87" t="e">
        <f>+G25/C24</f>
        <v>#DIV/0!</v>
      </c>
    </row>
    <row r="25" spans="1:11" s="2" customFormat="1" ht="21.75" customHeight="1">
      <c r="A25" s="43" t="s">
        <v>10</v>
      </c>
      <c r="B25" s="44"/>
      <c r="C25" s="45"/>
      <c r="D25" s="45"/>
      <c r="E25" s="46"/>
      <c r="G25" s="94">
        <f>+C24-C25-C26</f>
        <v>0</v>
      </c>
      <c r="H25" s="95"/>
      <c r="I25" s="88"/>
    </row>
    <row r="26" spans="1:11" s="2" customFormat="1" ht="31.5" customHeight="1" thickBot="1">
      <c r="A26" s="47" t="s">
        <v>11</v>
      </c>
      <c r="B26" s="48"/>
      <c r="C26" s="62">
        <f>+G45</f>
        <v>0</v>
      </c>
      <c r="D26" s="62"/>
      <c r="E26" s="63"/>
      <c r="G26" s="94"/>
      <c r="H26" s="95"/>
      <c r="I26" s="89"/>
    </row>
    <row r="27" spans="1:11" s="2" customFormat="1" ht="9" customHeight="1" thickBot="1">
      <c r="A27" s="1"/>
      <c r="B27" s="1"/>
      <c r="C27" s="1"/>
      <c r="D27" s="1"/>
      <c r="E27" s="1"/>
      <c r="F27" s="1"/>
      <c r="G27" s="96"/>
      <c r="H27" s="97"/>
      <c r="I27" s="6">
        <v>1</v>
      </c>
    </row>
    <row r="28" spans="1:11" s="2" customFormat="1" ht="31.5" customHeight="1">
      <c r="A28" s="18" t="s">
        <v>46</v>
      </c>
      <c r="B28" s="18"/>
      <c r="C28" s="18"/>
      <c r="D28" s="18"/>
      <c r="E28" s="18"/>
    </row>
    <row r="29" spans="1:11" s="2" customFormat="1" ht="9" customHeight="1">
      <c r="A29" s="1"/>
      <c r="B29" s="1"/>
      <c r="C29" s="1"/>
      <c r="D29" s="1"/>
      <c r="E29" s="1"/>
      <c r="F29" s="1"/>
      <c r="G29" s="1"/>
      <c r="H29" s="1"/>
      <c r="I29" s="1"/>
      <c r="J29" s="1"/>
    </row>
    <row r="30" spans="1:11" ht="26.25">
      <c r="A30" s="19" t="s">
        <v>32</v>
      </c>
      <c r="B30" s="20"/>
      <c r="C30" s="8"/>
      <c r="D30" s="19" t="s">
        <v>13</v>
      </c>
      <c r="E30" s="20"/>
      <c r="F30" s="8"/>
      <c r="G30" s="19" t="s">
        <v>37</v>
      </c>
      <c r="H30" s="20"/>
      <c r="I30" s="8"/>
      <c r="J30" s="19" t="s">
        <v>38</v>
      </c>
      <c r="K30" s="20"/>
    </row>
    <row r="31" spans="1:11" ht="27" customHeight="1">
      <c r="A31" s="21">
        <v>0</v>
      </c>
      <c r="B31" s="22"/>
      <c r="D31" s="21"/>
      <c r="E31" s="22"/>
      <c r="G31" s="21"/>
      <c r="H31" s="22"/>
      <c r="J31" s="21"/>
      <c r="K31" s="22"/>
    </row>
    <row r="32" spans="1:11" s="2" customFormat="1" ht="9" customHeight="1">
      <c r="A32" s="1"/>
      <c r="B32" s="1"/>
      <c r="C32"/>
      <c r="D32" s="1"/>
      <c r="E32" s="1"/>
      <c r="F32"/>
      <c r="G32" s="1"/>
      <c r="H32" s="1"/>
      <c r="I32"/>
      <c r="J32" s="1"/>
    </row>
    <row r="33" spans="1:11" ht="26.25">
      <c r="A33" s="19" t="s">
        <v>17</v>
      </c>
      <c r="B33" s="20"/>
      <c r="C33" s="8"/>
      <c r="D33" s="19" t="s">
        <v>18</v>
      </c>
      <c r="E33" s="20"/>
      <c r="F33" s="8"/>
      <c r="G33" s="19" t="s">
        <v>16</v>
      </c>
      <c r="H33" s="20"/>
      <c r="I33" s="8"/>
      <c r="J33" s="19" t="s">
        <v>15</v>
      </c>
      <c r="K33" s="20"/>
    </row>
    <row r="34" spans="1:11" ht="27" customHeight="1">
      <c r="A34" s="21"/>
      <c r="B34" s="22"/>
      <c r="D34" s="21">
        <f>+C24*1.15*A34/100</f>
        <v>0</v>
      </c>
      <c r="E34" s="22"/>
      <c r="G34" s="21"/>
      <c r="H34" s="22"/>
      <c r="J34" s="21">
        <v>0</v>
      </c>
      <c r="K34" s="22"/>
    </row>
    <row r="35" spans="1:11" s="2" customFormat="1" ht="9" customHeight="1">
      <c r="A35" s="1"/>
      <c r="B35" s="1"/>
      <c r="C35"/>
      <c r="D35" s="1"/>
      <c r="E35" s="1"/>
      <c r="F35"/>
      <c r="G35" s="1"/>
      <c r="H35" s="1"/>
      <c r="I35"/>
      <c r="J35" s="1"/>
    </row>
    <row r="36" spans="1:11" ht="26.25">
      <c r="A36" s="19" t="s">
        <v>14</v>
      </c>
      <c r="B36" s="20"/>
      <c r="C36" s="8"/>
      <c r="D36" s="102" t="s">
        <v>45</v>
      </c>
      <c r="E36" s="103"/>
      <c r="F36" s="8"/>
      <c r="G36" s="19" t="s">
        <v>50</v>
      </c>
      <c r="H36" s="20"/>
      <c r="I36" s="8"/>
      <c r="J36" s="19" t="s">
        <v>27</v>
      </c>
      <c r="K36" s="20"/>
    </row>
    <row r="37" spans="1:11" ht="27" customHeight="1">
      <c r="A37" s="21">
        <v>0</v>
      </c>
      <c r="B37" s="22"/>
      <c r="D37" s="21"/>
      <c r="E37" s="22"/>
      <c r="G37" s="21"/>
      <c r="H37" s="22"/>
      <c r="J37" s="21"/>
      <c r="K37" s="22"/>
    </row>
    <row r="38" spans="1:11" s="2" customFormat="1" ht="9" customHeight="1">
      <c r="A38" s="1"/>
      <c r="B38" s="1"/>
      <c r="C38"/>
      <c r="D38" s="1"/>
      <c r="E38" s="1"/>
      <c r="F38"/>
      <c r="G38" s="1"/>
      <c r="H38" s="1"/>
      <c r="I38"/>
      <c r="J38" s="1"/>
    </row>
    <row r="39" spans="1:11" ht="26.25">
      <c r="A39" s="19" t="s">
        <v>51</v>
      </c>
      <c r="B39" s="20"/>
      <c r="C39" s="8"/>
      <c r="D39" s="19" t="s">
        <v>31</v>
      </c>
      <c r="E39" s="20"/>
      <c r="F39" s="8"/>
      <c r="G39" s="19" t="s">
        <v>33</v>
      </c>
      <c r="H39" s="20"/>
      <c r="I39" s="8"/>
      <c r="J39" s="19" t="s">
        <v>34</v>
      </c>
      <c r="K39" s="20"/>
    </row>
    <row r="40" spans="1:11" ht="27" customHeight="1">
      <c r="A40" s="21"/>
      <c r="B40" s="22"/>
      <c r="D40" s="21"/>
      <c r="E40" s="22"/>
      <c r="G40" s="21"/>
      <c r="H40" s="22"/>
      <c r="J40" s="21"/>
      <c r="K40" s="22"/>
    </row>
    <row r="41" spans="1:11" s="2" customFormat="1" ht="9" customHeight="1">
      <c r="A41" s="1"/>
      <c r="B41" s="1"/>
      <c r="C41"/>
      <c r="D41" s="1"/>
      <c r="E41" s="1"/>
      <c r="F41"/>
      <c r="G41" s="1"/>
      <c r="H41" s="1"/>
      <c r="I41"/>
      <c r="J41" s="1"/>
    </row>
    <row r="42" spans="1:11" ht="26.25">
      <c r="A42" s="19" t="s">
        <v>36</v>
      </c>
      <c r="B42" s="20"/>
      <c r="C42" s="8"/>
      <c r="D42" s="19" t="s">
        <v>35</v>
      </c>
      <c r="E42" s="20"/>
      <c r="F42" s="8"/>
      <c r="G42" s="19" t="s">
        <v>39</v>
      </c>
      <c r="H42" s="20"/>
      <c r="I42" s="8"/>
      <c r="J42" s="19" t="s">
        <v>19</v>
      </c>
      <c r="K42" s="20"/>
    </row>
    <row r="43" spans="1:11" ht="27" customHeight="1">
      <c r="A43" s="21"/>
      <c r="B43" s="22"/>
      <c r="D43" s="21"/>
      <c r="E43" s="22"/>
      <c r="G43" s="21"/>
      <c r="H43" s="22"/>
      <c r="J43" s="21"/>
      <c r="K43" s="22"/>
    </row>
    <row r="44" spans="1:11" ht="16.5">
      <c r="B44" s="7"/>
      <c r="J44" s="7"/>
      <c r="K44" s="7"/>
    </row>
    <row r="45" spans="1:11" ht="18" customHeight="1">
      <c r="A45" s="7"/>
      <c r="B45" s="29" t="s">
        <v>20</v>
      </c>
      <c r="C45" s="30"/>
      <c r="D45" s="30"/>
      <c r="E45" s="31"/>
      <c r="G45" s="35">
        <f>+A31+D31+G31+J31+D34+G34+J34+A37+D37+G37+J37+A43+D43+G43+J43+A40+D40+G40+J40</f>
        <v>0</v>
      </c>
      <c r="H45" s="36"/>
      <c r="I45" s="36"/>
      <c r="J45" s="37"/>
      <c r="K45" s="7"/>
    </row>
    <row r="46" spans="1:11" ht="14.25" customHeight="1">
      <c r="A46" s="7"/>
      <c r="B46" s="32"/>
      <c r="C46" s="33"/>
      <c r="D46" s="33"/>
      <c r="E46" s="34"/>
      <c r="G46" s="38"/>
      <c r="H46" s="39"/>
      <c r="I46" s="39"/>
      <c r="J46" s="40"/>
      <c r="K46" s="7"/>
    </row>
    <row r="47" spans="1:11" s="2" customFormat="1" ht="9" customHeight="1">
      <c r="A47" s="1"/>
      <c r="B47" s="1"/>
      <c r="C47" s="1"/>
      <c r="D47" s="1"/>
      <c r="E47" s="1"/>
      <c r="F47" s="1"/>
      <c r="G47" s="1"/>
      <c r="H47" s="1"/>
      <c r="I47" s="1"/>
      <c r="J47" s="1"/>
    </row>
    <row r="48" spans="1:11" ht="30" customHeight="1">
      <c r="A48" s="14" t="s">
        <v>47</v>
      </c>
      <c r="B48" s="15"/>
      <c r="C48" s="16"/>
      <c r="D48" s="17"/>
      <c r="E48" s="17"/>
      <c r="F48" s="17"/>
      <c r="G48" s="17"/>
      <c r="H48" s="17"/>
      <c r="I48" s="11" t="s">
        <v>41</v>
      </c>
      <c r="J48" s="9"/>
      <c r="K48" s="10"/>
    </row>
    <row r="50" spans="1:11" ht="22.5">
      <c r="A50" s="101" t="s">
        <v>22</v>
      </c>
      <c r="B50" s="101"/>
      <c r="C50" s="101"/>
      <c r="D50" s="101"/>
      <c r="E50" s="101"/>
      <c r="F50" s="101"/>
      <c r="G50" s="101"/>
      <c r="H50" s="101"/>
      <c r="I50" s="101"/>
      <c r="J50" s="101"/>
      <c r="K50" s="101"/>
    </row>
  </sheetData>
  <mergeCells count="93">
    <mergeCell ref="J1:K2"/>
    <mergeCell ref="J3:K4"/>
    <mergeCell ref="H1:I1"/>
    <mergeCell ref="H3:I3"/>
    <mergeCell ref="H2:I2"/>
    <mergeCell ref="H4:I4"/>
    <mergeCell ref="A50:K50"/>
    <mergeCell ref="A33:B33"/>
    <mergeCell ref="A30:B30"/>
    <mergeCell ref="D30:E30"/>
    <mergeCell ref="G30:H30"/>
    <mergeCell ref="J30:K30"/>
    <mergeCell ref="A31:B31"/>
    <mergeCell ref="D31:E31"/>
    <mergeCell ref="G31:H31"/>
    <mergeCell ref="J31:K31"/>
    <mergeCell ref="J33:K33"/>
    <mergeCell ref="J34:K34"/>
    <mergeCell ref="A36:B36"/>
    <mergeCell ref="A37:B37"/>
    <mergeCell ref="D36:E36"/>
    <mergeCell ref="D37:E37"/>
    <mergeCell ref="A22:E22"/>
    <mergeCell ref="C15:E15"/>
    <mergeCell ref="G14:K14"/>
    <mergeCell ref="A24:B24"/>
    <mergeCell ref="G19:H19"/>
    <mergeCell ref="A15:B15"/>
    <mergeCell ref="I19:K19"/>
    <mergeCell ref="G20:H20"/>
    <mergeCell ref="I24:I26"/>
    <mergeCell ref="G23:H24"/>
    <mergeCell ref="G25:H27"/>
    <mergeCell ref="I20:K20"/>
    <mergeCell ref="C10:E10"/>
    <mergeCell ref="G15:K15"/>
    <mergeCell ref="A8:E8"/>
    <mergeCell ref="A17:E17"/>
    <mergeCell ref="A12:B12"/>
    <mergeCell ref="G13:H13"/>
    <mergeCell ref="I13:K13"/>
    <mergeCell ref="G10:H10"/>
    <mergeCell ref="I10:K10"/>
    <mergeCell ref="G11:H11"/>
    <mergeCell ref="I11:K11"/>
    <mergeCell ref="J36:K36"/>
    <mergeCell ref="A34:B34"/>
    <mergeCell ref="A10:B10"/>
    <mergeCell ref="A25:B25"/>
    <mergeCell ref="C25:E25"/>
    <mergeCell ref="A20:B20"/>
    <mergeCell ref="A19:B19"/>
    <mergeCell ref="C24:E24"/>
    <mergeCell ref="A11:B11"/>
    <mergeCell ref="C11:E11"/>
    <mergeCell ref="A26:B26"/>
    <mergeCell ref="A13:E14"/>
    <mergeCell ref="C12:E12"/>
    <mergeCell ref="C20:E20"/>
    <mergeCell ref="C19:E19"/>
    <mergeCell ref="C26:E26"/>
    <mergeCell ref="J43:K43"/>
    <mergeCell ref="J37:K37"/>
    <mergeCell ref="B45:E46"/>
    <mergeCell ref="G45:J46"/>
    <mergeCell ref="A43:B43"/>
    <mergeCell ref="D43:E43"/>
    <mergeCell ref="A42:B42"/>
    <mergeCell ref="D42:E42"/>
    <mergeCell ref="G42:H42"/>
    <mergeCell ref="J42:K42"/>
    <mergeCell ref="G37:H37"/>
    <mergeCell ref="J39:K39"/>
    <mergeCell ref="A40:B40"/>
    <mergeCell ref="D40:E40"/>
    <mergeCell ref="G40:H40"/>
    <mergeCell ref="J40:K40"/>
    <mergeCell ref="C1:G4"/>
    <mergeCell ref="A48:C48"/>
    <mergeCell ref="D48:H48"/>
    <mergeCell ref="A28:E28"/>
    <mergeCell ref="A39:B39"/>
    <mergeCell ref="D39:E39"/>
    <mergeCell ref="G39:H39"/>
    <mergeCell ref="G43:H43"/>
    <mergeCell ref="D33:E33"/>
    <mergeCell ref="D34:E34"/>
    <mergeCell ref="G33:H33"/>
    <mergeCell ref="G34:H34"/>
    <mergeCell ref="G36:H36"/>
    <mergeCell ref="A6:K6"/>
    <mergeCell ref="G12:H12"/>
    <mergeCell ref="I12:K12"/>
  </mergeCells>
  <phoneticPr fontId="26" type="noConversion"/>
  <pageMargins left="0.70866141732283472" right="0.70866141732283472" top="0.47244094488188981" bottom="0.19685039370078741" header="0.31496062992125984" footer="0.31496062992125984"/>
  <pageSetup scale="67" fitToWidth="0" fitToHeight="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Ramz</cp:lastModifiedBy>
  <cp:lastPrinted>2025-07-27T14:27:04Z</cp:lastPrinted>
  <dcterms:created xsi:type="dcterms:W3CDTF">2019-11-11T13:05:32Z</dcterms:created>
  <dcterms:modified xsi:type="dcterms:W3CDTF">2025-10-30T10:30:51Z</dcterms:modified>
</cp:coreProperties>
</file>