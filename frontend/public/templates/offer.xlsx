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z\crm-system\frontend\public\templates\"/>
    </mc:Choice>
  </mc:AlternateContent>
  <xr:revisionPtr revIDLastSave="0" documentId="13_ncr:1_{88819FC4-C5A9-4A3B-A887-C24CBB5A6AF0}" xr6:coauthVersionLast="47" xr6:coauthVersionMax="47" xr10:uidLastSave="{00000000-0000-0000-0000-000000000000}"/>
  <bookViews>
    <workbookView xWindow="-120" yWindow="-120" windowWidth="29040" windowHeight="15840" firstSheet="2" activeTab="2" xr2:uid="{AE13A384-27EA-4FB5-834B-EBBDF48F81C8}"/>
  </bookViews>
  <sheets>
    <sheet name="وليد" sheetId="2" state="hidden" r:id="rId1"/>
    <sheet name="ورقة2" sheetId="3" state="hidden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" l="1"/>
  <c r="J32" i="4" s="1"/>
  <c r="H31" i="4"/>
  <c r="H30" i="4"/>
  <c r="J30" i="4" s="1"/>
  <c r="J31" i="4"/>
  <c r="H22" i="4"/>
  <c r="J22" i="4" s="1"/>
  <c r="H25" i="4"/>
  <c r="J25" i="4" s="1"/>
  <c r="K25" i="4" s="1"/>
  <c r="H26" i="4"/>
  <c r="J26" i="4" s="1"/>
  <c r="K26" i="4" s="1"/>
  <c r="H27" i="4"/>
  <c r="J27" i="4" s="1"/>
  <c r="K27" i="4" s="1"/>
  <c r="K29" i="4"/>
  <c r="A17" i="4"/>
  <c r="F18" i="3"/>
  <c r="F22" i="3" s="1"/>
  <c r="F24" i="3" s="1"/>
  <c r="F18" i="2"/>
  <c r="F22" i="2" s="1"/>
  <c r="K24" i="4" l="1"/>
  <c r="K22" i="4"/>
</calcChain>
</file>

<file path=xl/sharedStrings.xml><?xml version="1.0" encoding="utf-8"?>
<sst xmlns="http://schemas.openxmlformats.org/spreadsheetml/2006/main" count="108" uniqueCount="72">
  <si>
    <t>عرض سعر</t>
  </si>
  <si>
    <t>تاريخ: 2024/05/06 م</t>
  </si>
  <si>
    <t xml:space="preserve">رقم الكود/ 100010837 </t>
  </si>
  <si>
    <t>الساده/ مصرف الراجحي</t>
  </si>
  <si>
    <t>المحترمين</t>
  </si>
  <si>
    <t>نتقدم اليكم بعرض السعر للعميل:-</t>
  </si>
  <si>
    <t>نوع السياره</t>
  </si>
  <si>
    <t>مواصفات السيارة</t>
  </si>
  <si>
    <t>موديل</t>
  </si>
  <si>
    <t>اللون</t>
  </si>
  <si>
    <t>رقم الهيكل</t>
  </si>
  <si>
    <t>السعر</t>
  </si>
  <si>
    <t>ISUZU-NPR</t>
  </si>
  <si>
    <t>NPR85K-SINGLE-CABV4-4*2-M/TEW-DISEL-4TONS-وزن السيارة 2434</t>
  </si>
  <si>
    <t>ابيض</t>
  </si>
  <si>
    <t>RS2KP34T3RWP00008</t>
  </si>
  <si>
    <t>القيمة المضافة 15%</t>
  </si>
  <si>
    <t>رسوم لوحات</t>
  </si>
  <si>
    <t>الاجمالى</t>
  </si>
  <si>
    <t xml:space="preserve">    الاجمالي</t>
  </si>
  <si>
    <t xml:space="preserve">سبعة وتسعون الف وثلاثمائة  ريال فقط لاغير    </t>
  </si>
  <si>
    <t xml:space="preserve"> الوكيل – سعودي                                                                                         </t>
  </si>
  <si>
    <t xml:space="preserve">ضمان الوكيل </t>
  </si>
  <si>
    <t>العرض يشمل اللوحات والاستمارة</t>
  </si>
  <si>
    <t>رقم السجل الضريبي / 302003467900003</t>
  </si>
  <si>
    <t>الختم/ التوقيع</t>
  </si>
  <si>
    <t xml:space="preserve">  توقيع العميل                                                        </t>
  </si>
  <si>
    <t>مسؤل المبيعات</t>
  </si>
  <si>
    <t xml:space="preserve">                                                                                 </t>
  </si>
  <si>
    <t>وليد احمد</t>
  </si>
  <si>
    <t>0501683466</t>
  </si>
  <si>
    <t>######</t>
  </si>
  <si>
    <t>سوم لوحات</t>
  </si>
  <si>
    <t>الإجمالي للعدد1</t>
  </si>
  <si>
    <t>سوزوكي - ايكو فان بضاعة</t>
  </si>
  <si>
    <t>4 سلندر -1.200 سي سي - قير عادي - مكيف - حساسات خلفيه - طيس - بنزين</t>
  </si>
  <si>
    <t xml:space="preserve">اربعمائة وسبعة وعشرون الف وسبعمائة وخمسون  ريال فقط لاغير    </t>
  </si>
  <si>
    <t>تاريخ: 09/05/2024 م</t>
  </si>
  <si>
    <t>الإجمالي عدد 10 سيارات</t>
  </si>
  <si>
    <t>المـــــــــــــوافـــــــــــق</t>
  </si>
  <si>
    <t xml:space="preserve">الــســــــــــــــــاده/           </t>
  </si>
  <si>
    <t>الــمـــحـــتــــرمـــــــــــــيـــــــن</t>
  </si>
  <si>
    <t>م</t>
  </si>
  <si>
    <t>الموديل</t>
  </si>
  <si>
    <t>الإجمالي</t>
  </si>
  <si>
    <t>اجمالي عدد السيارات</t>
  </si>
  <si>
    <t xml:space="preserve"> الوكيل – سعودي                                                                                                   </t>
  </si>
  <si>
    <t>مندوب مبيعات</t>
  </si>
  <si>
    <t>تكلفة</t>
  </si>
  <si>
    <t>السعر شامل الضريبه واللوحات</t>
  </si>
  <si>
    <t>ضريبة القيمة المضافة</t>
  </si>
  <si>
    <t>ايسوزو دينا FRR90Q</t>
  </si>
  <si>
    <t>تويوتا يارس Y</t>
  </si>
  <si>
    <t>محرك 1300 سى سى - بنزين - جنط 15 - حساس خلفى - ريموت - مراتب قماش - زجاج كهرب - شاشة - كاميرا</t>
  </si>
  <si>
    <t xml:space="preserve">5200 سى سى محرك - شاص 6.89 متر - 4 سلندر - قير عادى - ديزل </t>
  </si>
  <si>
    <t>لكزس 600 BB</t>
  </si>
  <si>
    <t xml:space="preserve">مكينة 3500 سى سى - توين تربو - جنوط 22 سبورت - أبواب شفط - تشغيل بصمة - فتحة سقف - نقطة عمياء - كاميرا 360 - كراسى اوتوماتيك - نظام هيدروليك - ردار </t>
  </si>
  <si>
    <t>السعر قبل الضريبة</t>
  </si>
  <si>
    <t xml:space="preserve">نقدم اليكم بعرض سعر /  </t>
  </si>
  <si>
    <t xml:space="preserve">لوحات </t>
  </si>
  <si>
    <t xml:space="preserve">هيونداي اكسنت سمارت </t>
  </si>
  <si>
    <t xml:space="preserve">محرك 1.5 - جنوط 16 - مقاعد قماش - شاشه- كاميرا - مثبت سرعه </t>
  </si>
  <si>
    <t xml:space="preserve">كيا بيجاس ستاندر </t>
  </si>
  <si>
    <t xml:space="preserve">محرك 1.4 -4سلندر - مثبت سرعه - بلتوث - ريموت- مانع انزلاق </t>
  </si>
  <si>
    <t xml:space="preserve">فضي </t>
  </si>
  <si>
    <t xml:space="preserve">العرض ساري لمدة 3 أيام فقط </t>
  </si>
  <si>
    <t xml:space="preserve">فوتون تونلاند غماره جوانب </t>
  </si>
  <si>
    <t xml:space="preserve">محرك 2.0 - ديزل - شاشه معلومات - دفع خلفي- مكيف امامي - زجاج كهرباء - تحكم بالمرايات - بدون دبل </t>
  </si>
  <si>
    <t xml:space="preserve">رقم الهيكل </t>
  </si>
  <si>
    <t xml:space="preserve">ايهاب احمد </t>
  </si>
  <si>
    <t>0553336422</t>
  </si>
  <si>
    <t xml:space="preserve">استلام جده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</si>
</sst>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2010000]yyyy/mm/dd;@"/>
    <numFmt numFmtId="166" formatCode="_-* #,##0.00\ _ر_._س_._‏_-;\-* #,##0.00\ _ر_._س_._‏_-;_-* &quot;-&quot;??\ _ر_._س_._‏_-;_-@_-"/>
    <numFmt numFmtId="167" formatCode="_-* #,##0_-;\-* #,##0_-;_-* &quot;-&quot;??_-;_-@_-"/>
    <numFmt numFmtId="168" formatCode="_-* #,##0\ _ر_._س_._‏_-;\-* #,##0\ _ر_._س_._‏_-;_-* &quot;-&quot;??\ _ر_._س_._‏_-;_-@_-"/>
  </numFmts>
  <fonts count="31" x14ac:knownFonts="1">
    <font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b/>
      <i/>
      <u/>
      <sz val="18"/>
      <color theme="1"/>
      <name val="Calibri"/>
      <family val="2"/>
    </font>
    <font>
      <b/>
      <sz val="18"/>
      <color theme="1"/>
      <name val="Times New Roman"/>
      <family val="1"/>
    </font>
    <font>
      <sz val="18"/>
      <color theme="1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Times New Roman"/>
      <family val="1"/>
    </font>
    <font>
      <b/>
      <sz val="18"/>
      <color theme="1"/>
      <name val="Calibri"/>
      <family val="2"/>
    </font>
    <font>
      <sz val="14"/>
      <color theme="1"/>
      <name val="Calibri"/>
      <family val="2"/>
      <charset val="178"/>
      <scheme val="minor"/>
    </font>
    <font>
      <b/>
      <sz val="16"/>
      <color theme="1"/>
      <name val="Calibri"/>
      <family val="2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charset val="178"/>
      <scheme val="minor"/>
    </font>
    <font>
      <sz val="16"/>
      <color theme="1"/>
      <name val="Times New Roman"/>
      <family val="1"/>
    </font>
    <font>
      <b/>
      <sz val="14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8"/>
      <color theme="1"/>
      <name val="Calibri"/>
      <family val="2"/>
      <charset val="178"/>
      <scheme val="minor"/>
    </font>
    <font>
      <b/>
      <sz val="18"/>
      <color theme="1"/>
      <name val="Times New Roman"/>
      <family val="1"/>
      <charset val="178"/>
    </font>
    <font>
      <b/>
      <sz val="18"/>
      <color theme="1"/>
      <name val="Arial"/>
      <family val="2"/>
      <charset val="178"/>
    </font>
    <font>
      <b/>
      <sz val="16"/>
      <color theme="1"/>
      <name val="Calibri"/>
      <family val="2"/>
      <charset val="178"/>
      <scheme val="minor"/>
    </font>
    <font>
      <b/>
      <sz val="16"/>
      <color theme="1"/>
      <name val="Times New Roman"/>
      <family val="1"/>
      <charset val="178"/>
    </font>
    <font>
      <b/>
      <sz val="14"/>
      <color theme="1"/>
      <name val="Calibri"/>
      <family val="2"/>
      <charset val="178"/>
    </font>
    <font>
      <b/>
      <sz val="14"/>
      <color theme="1"/>
      <name val="Calibri"/>
      <family val="2"/>
      <charset val="178"/>
      <scheme val="minor"/>
    </font>
    <font>
      <b/>
      <u/>
      <sz val="36"/>
      <color theme="1"/>
      <name val="Calibri"/>
      <family val="2"/>
      <charset val="178"/>
      <scheme val="minor"/>
    </font>
    <font>
      <b/>
      <sz val="22"/>
      <color theme="1"/>
      <name val="Times New Roman"/>
      <family val="1"/>
      <charset val="178"/>
    </font>
    <font>
      <sz val="8"/>
      <name val="Calibri"/>
      <family val="2"/>
      <charset val="178"/>
      <scheme val="minor"/>
    </font>
    <font>
      <b/>
      <sz val="20"/>
      <color theme="1"/>
      <name val="Times New Roman"/>
      <family val="1"/>
      <charset val="178"/>
    </font>
    <font>
      <b/>
      <sz val="12"/>
      <color theme="1"/>
      <name val="Times New Roman"/>
      <family val="1"/>
      <charset val="178"/>
    </font>
    <font>
      <b/>
      <sz val="14"/>
      <color theme="1"/>
      <name val="Times New Roman"/>
      <family val="1"/>
      <charset val="178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 readingOrder="2"/>
    </xf>
    <xf numFmtId="0" fontId="4" fillId="0" borderId="0" xfId="0" applyFont="1"/>
    <xf numFmtId="0" fontId="4" fillId="0" borderId="0" xfId="0" applyFont="1" applyAlignment="1">
      <alignment readingOrder="2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right" vertical="center" readingOrder="2"/>
    </xf>
    <xf numFmtId="49" fontId="5" fillId="0" borderId="0" xfId="0" applyNumberFormat="1" applyFont="1" applyAlignment="1">
      <alignment horizontal="right"/>
    </xf>
    <xf numFmtId="0" fontId="9" fillId="0" borderId="0" xfId="0" applyFont="1"/>
    <xf numFmtId="0" fontId="11" fillId="0" borderId="0" xfId="0" applyFont="1" applyAlignment="1">
      <alignment horizontal="right" vertical="center" readingOrder="2"/>
    </xf>
    <xf numFmtId="0" fontId="3" fillId="0" borderId="1" xfId="0" applyFont="1" applyBorder="1" applyAlignment="1">
      <alignment horizontal="center" vertical="center" wrapText="1" readingOrder="2"/>
    </xf>
    <xf numFmtId="0" fontId="13" fillId="0" borderId="0" xfId="0" applyFont="1"/>
    <xf numFmtId="0" fontId="14" fillId="0" borderId="0" xfId="0" applyFont="1" applyAlignment="1">
      <alignment vertical="center"/>
    </xf>
    <xf numFmtId="0" fontId="12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right" vertical="center" readingOrder="2"/>
    </xf>
    <xf numFmtId="49" fontId="1" fillId="0" borderId="0" xfId="0" applyNumberFormat="1" applyFont="1" applyAlignment="1">
      <alignment horizontal="right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right" vertical="center" readingOrder="2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9" fillId="0" borderId="0" xfId="0" applyFont="1"/>
    <xf numFmtId="0" fontId="21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right" vertical="center" readingOrder="2"/>
    </xf>
    <xf numFmtId="0" fontId="24" fillId="0" borderId="0" xfId="0" applyFont="1"/>
    <xf numFmtId="0" fontId="19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horizontal="center" vertical="center" wrapText="1" readingOrder="2"/>
    </xf>
    <xf numFmtId="0" fontId="1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17" fillId="0" borderId="0" xfId="0" applyNumberFormat="1" applyFont="1" applyAlignment="1">
      <alignment horizontal="center" vertical="center"/>
    </xf>
    <xf numFmtId="0" fontId="28" fillId="4" borderId="1" xfId="0" applyFont="1" applyFill="1" applyBorder="1" applyAlignment="1">
      <alignment horizontal="center" vertical="center" wrapText="1"/>
    </xf>
    <xf numFmtId="167" fontId="19" fillId="0" borderId="1" xfId="1" applyNumberFormat="1" applyFont="1" applyBorder="1" applyAlignment="1">
      <alignment horizontal="center" vertical="center" wrapText="1"/>
    </xf>
    <xf numFmtId="167" fontId="18" fillId="0" borderId="1" xfId="1" applyNumberFormat="1" applyFont="1" applyBorder="1" applyAlignment="1">
      <alignment horizontal="center" vertical="center"/>
    </xf>
    <xf numFmtId="167" fontId="20" fillId="0" borderId="1" xfId="1" applyNumberFormat="1" applyFont="1" applyBorder="1" applyAlignment="1">
      <alignment horizontal="center" vertical="center" wrapText="1"/>
    </xf>
    <xf numFmtId="166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29" fillId="0" borderId="1" xfId="0" applyFont="1" applyBorder="1" applyAlignment="1">
      <alignment horizontal="center" vertical="center" wrapText="1" readingOrder="2"/>
    </xf>
    <xf numFmtId="168" fontId="19" fillId="3" borderId="1" xfId="0" applyNumberFormat="1" applyFont="1" applyFill="1" applyBorder="1" applyAlignment="1">
      <alignment vertical="center" wrapText="1" readingOrder="1"/>
    </xf>
    <xf numFmtId="0" fontId="3" fillId="0" borderId="6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right" wrapText="1" readingOrder="2"/>
    </xf>
    <xf numFmtId="0" fontId="2" fillId="0" borderId="0" xfId="0" applyFont="1" applyAlignment="1">
      <alignment horizontal="center" vertical="center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readingOrder="2"/>
    </xf>
    <xf numFmtId="0" fontId="3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49" fontId="21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9" fillId="3" borderId="1" xfId="0" applyFont="1" applyFill="1" applyBorder="1" applyAlignment="1">
      <alignment horizontal="center" vertical="center" readingOrder="2"/>
    </xf>
    <xf numFmtId="0" fontId="19" fillId="3" borderId="1" xfId="0" applyFont="1" applyFill="1" applyBorder="1" applyAlignment="1">
      <alignment horizontal="center" vertical="center" wrapText="1" readingOrder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readingOrder="2"/>
    </xf>
    <xf numFmtId="0" fontId="19" fillId="0" borderId="0" xfId="0" applyFont="1" applyAlignment="1">
      <alignment horizontal="right" vertical="center" readingOrder="2"/>
    </xf>
    <xf numFmtId="0" fontId="30" fillId="0" borderId="8" xfId="0" applyFont="1" applyBorder="1" applyAlignment="1">
      <alignment horizontal="center" vertical="center" readingOrder="2"/>
    </xf>
    <xf numFmtId="0" fontId="30" fillId="0" borderId="9" xfId="0" applyFont="1" applyBorder="1" applyAlignment="1">
      <alignment horizontal="center" vertical="center" readingOrder="2"/>
    </xf>
    <xf numFmtId="0" fontId="19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164" fontId="19" fillId="0" borderId="0" xfId="0" applyNumberFormat="1" applyFont="1" applyAlignment="1">
      <alignment horizontal="right" vertical="center" readingOrder="1"/>
    </xf>
    <xf numFmtId="166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1.emf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9525</xdr:rowOff>
    </xdr:from>
    <xdr:to>
      <xdr:col>4</xdr:col>
      <xdr:colOff>582930</xdr:colOff>
      <xdr:row>5</xdr:row>
      <xdr:rowOff>285750</xdr:rowOff>
    </xdr:to>
    <xdr:pic>
      <xdr:nvPicPr>
        <xdr:cNvPr id="18" name="صورة 17">
          <a:extLst>
            <a:ext uri="{FF2B5EF4-FFF2-40B4-BE49-F238E27FC236}">
              <a16:creationId xmlns:a16="http://schemas.microsoft.com/office/drawing/2014/main" id="{EB558F90-AED1-417D-8930-359FA1C89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7053210" y="230505"/>
          <a:ext cx="7429500" cy="1083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</xdr:row>
      <xdr:rowOff>9525</xdr:rowOff>
    </xdr:from>
    <xdr:to>
      <xdr:col>5</xdr:col>
      <xdr:colOff>1876425</xdr:colOff>
      <xdr:row>45</xdr:row>
      <xdr:rowOff>0</xdr:rowOff>
    </xdr:to>
    <xdr:grpSp>
      <xdr:nvGrpSpPr>
        <xdr:cNvPr id="19" name="Group 8">
          <a:extLst>
            <a:ext uri="{FF2B5EF4-FFF2-40B4-BE49-F238E27FC236}">
              <a16:creationId xmlns:a16="http://schemas.microsoft.com/office/drawing/2014/main" id="{82117270-1523-48C5-B201-FFAD1EBD84A2}"/>
            </a:ext>
          </a:extLst>
        </xdr:cNvPr>
        <xdr:cNvGrpSpPr>
          <a:grpSpLocks/>
        </xdr:cNvGrpSpPr>
      </xdr:nvGrpSpPr>
      <xdr:grpSpPr bwMode="auto">
        <a:xfrm>
          <a:off x="9984028800" y="12620625"/>
          <a:ext cx="10410825" cy="581025"/>
          <a:chOff x="-935" y="16324"/>
          <a:chExt cx="11682" cy="513"/>
        </a:xfrm>
      </xdr:grpSpPr>
      <xdr:pic>
        <xdr:nvPicPr>
          <xdr:cNvPr id="20" name="Picture 12">
            <a:extLst>
              <a:ext uri="{FF2B5EF4-FFF2-40B4-BE49-F238E27FC236}">
                <a16:creationId xmlns:a16="http://schemas.microsoft.com/office/drawing/2014/main" id="{1E9225F3-A5E3-EDA4-7B35-69EA9B5134F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935" y="16327"/>
            <a:ext cx="9833" cy="5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" name="Rectangle 11">
            <a:extLst>
              <a:ext uri="{FF2B5EF4-FFF2-40B4-BE49-F238E27FC236}">
                <a16:creationId xmlns:a16="http://schemas.microsoft.com/office/drawing/2014/main" id="{93CE8A96-EE60-F538-FD48-A1DE1983F4D5}"/>
              </a:ext>
            </a:extLst>
          </xdr:cNvPr>
          <xdr:cNvSpPr>
            <a:spLocks noChangeArrowheads="1"/>
          </xdr:cNvSpPr>
        </xdr:nvSpPr>
        <xdr:spPr bwMode="auto">
          <a:xfrm>
            <a:off x="7297" y="16324"/>
            <a:ext cx="3450" cy="510"/>
          </a:xfrm>
          <a:prstGeom prst="rect">
            <a:avLst/>
          </a:prstGeom>
          <a:solidFill>
            <a:srgbClr val="02030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ar-SA"/>
          </a:p>
        </xdr:txBody>
      </xdr:sp>
      <xdr:pic>
        <xdr:nvPicPr>
          <xdr:cNvPr id="22" name="Picture 10">
            <a:extLst>
              <a:ext uri="{FF2B5EF4-FFF2-40B4-BE49-F238E27FC236}">
                <a16:creationId xmlns:a16="http://schemas.microsoft.com/office/drawing/2014/main" id="{A774D6D0-85CA-E455-1082-978B4E4D515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935" y="16327"/>
            <a:ext cx="8210" cy="50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AutoShape 9">
            <a:extLst>
              <a:ext uri="{FF2B5EF4-FFF2-40B4-BE49-F238E27FC236}">
                <a16:creationId xmlns:a16="http://schemas.microsoft.com/office/drawing/2014/main" id="{3D530B13-3F6A-7814-66A7-26EC25A76148}"/>
              </a:ext>
            </a:extLst>
          </xdr:cNvPr>
          <xdr:cNvSpPr>
            <a:spLocks/>
          </xdr:cNvSpPr>
        </xdr:nvSpPr>
        <xdr:spPr bwMode="auto">
          <a:xfrm>
            <a:off x="7584" y="16400"/>
            <a:ext cx="3022" cy="326"/>
          </a:xfrm>
          <a:custGeom>
            <a:avLst/>
            <a:gdLst>
              <a:gd name="T0" fmla="*/ 84 w 3022"/>
              <a:gd name="T1" fmla="*/ 16490 h 326"/>
              <a:gd name="T2" fmla="*/ 113 w 3022"/>
              <a:gd name="T3" fmla="*/ 16636 h 326"/>
              <a:gd name="T4" fmla="*/ 38 w 3022"/>
              <a:gd name="T5" fmla="*/ 16602 h 326"/>
              <a:gd name="T6" fmla="*/ 90 w 3022"/>
              <a:gd name="T7" fmla="*/ 16545 h 326"/>
              <a:gd name="T8" fmla="*/ 52 w 3022"/>
              <a:gd name="T9" fmla="*/ 16511 h 326"/>
              <a:gd name="T10" fmla="*/ 0 w 3022"/>
              <a:gd name="T11" fmla="*/ 16576 h 326"/>
              <a:gd name="T12" fmla="*/ 33 w 3022"/>
              <a:gd name="T13" fmla="*/ 16664 h 326"/>
              <a:gd name="T14" fmla="*/ 151 w 3022"/>
              <a:gd name="T15" fmla="*/ 16514 h 326"/>
              <a:gd name="T16" fmla="*/ 187 w 3022"/>
              <a:gd name="T17" fmla="*/ 16710 h 326"/>
              <a:gd name="T18" fmla="*/ 238 w 3022"/>
              <a:gd name="T19" fmla="*/ 16725 h 326"/>
              <a:gd name="T20" fmla="*/ 400 w 3022"/>
              <a:gd name="T21" fmla="*/ 16719 h 326"/>
              <a:gd name="T22" fmla="*/ 619 w 3022"/>
              <a:gd name="T23" fmla="*/ 16461 h 326"/>
              <a:gd name="T24" fmla="*/ 714 w 3022"/>
              <a:gd name="T25" fmla="*/ 16636 h 326"/>
              <a:gd name="T26" fmla="*/ 499 w 3022"/>
              <a:gd name="T27" fmla="*/ 16636 h 326"/>
              <a:gd name="T28" fmla="*/ 456 w 3022"/>
              <a:gd name="T29" fmla="*/ 16510 h 326"/>
              <a:gd name="T30" fmla="*/ 415 w 3022"/>
              <a:gd name="T31" fmla="*/ 16545 h 326"/>
              <a:gd name="T32" fmla="*/ 287 w 3022"/>
              <a:gd name="T33" fmla="*/ 16671 h 326"/>
              <a:gd name="T34" fmla="*/ 941 w 3022"/>
              <a:gd name="T35" fmla="*/ 16707 h 326"/>
              <a:gd name="T36" fmla="*/ 959 w 3022"/>
              <a:gd name="T37" fmla="*/ 16740 h 326"/>
              <a:gd name="T38" fmla="*/ 1088 w 3022"/>
              <a:gd name="T39" fmla="*/ 16691 h 326"/>
              <a:gd name="T40" fmla="*/ 1126 w 3022"/>
              <a:gd name="T41" fmla="*/ 16719 h 326"/>
              <a:gd name="T42" fmla="*/ 1212 w 3022"/>
              <a:gd name="T43" fmla="*/ 16461 h 326"/>
              <a:gd name="T44" fmla="*/ 1422 w 3022"/>
              <a:gd name="T45" fmla="*/ 16449 h 326"/>
              <a:gd name="T46" fmla="*/ 1428 w 3022"/>
              <a:gd name="T47" fmla="*/ 16510 h 326"/>
              <a:gd name="T48" fmla="*/ 1387 w 3022"/>
              <a:gd name="T49" fmla="*/ 16545 h 326"/>
              <a:gd name="T50" fmla="*/ 1243 w 3022"/>
              <a:gd name="T51" fmla="*/ 16636 h 326"/>
              <a:gd name="T52" fmla="*/ 1025 w 3022"/>
              <a:gd name="T53" fmla="*/ 16671 h 326"/>
              <a:gd name="T54" fmla="*/ 1567 w 3022"/>
              <a:gd name="T55" fmla="*/ 16490 h 326"/>
              <a:gd name="T56" fmla="*/ 1647 w 3022"/>
              <a:gd name="T57" fmla="*/ 16450 h 326"/>
              <a:gd name="T58" fmla="*/ 1867 w 3022"/>
              <a:gd name="T59" fmla="*/ 16490 h 326"/>
              <a:gd name="T60" fmla="*/ 2108 w 3022"/>
              <a:gd name="T61" fmla="*/ 16541 h 326"/>
              <a:gd name="T62" fmla="*/ 2014 w 3022"/>
              <a:gd name="T63" fmla="*/ 16625 h 326"/>
              <a:gd name="T64" fmla="*/ 2016 w 3022"/>
              <a:gd name="T65" fmla="*/ 16547 h 326"/>
              <a:gd name="T66" fmla="*/ 2080 w 3022"/>
              <a:gd name="T67" fmla="*/ 16516 h 326"/>
              <a:gd name="T68" fmla="*/ 1984 w 3022"/>
              <a:gd name="T69" fmla="*/ 16520 h 326"/>
              <a:gd name="T70" fmla="*/ 1976 w 3022"/>
              <a:gd name="T71" fmla="*/ 16625 h 326"/>
              <a:gd name="T72" fmla="*/ 1859 w 3022"/>
              <a:gd name="T73" fmla="*/ 16695 h 326"/>
              <a:gd name="T74" fmla="*/ 1835 w 3022"/>
              <a:gd name="T75" fmla="*/ 16745 h 326"/>
              <a:gd name="T76" fmla="*/ 1893 w 3022"/>
              <a:gd name="T77" fmla="*/ 16710 h 326"/>
              <a:gd name="T78" fmla="*/ 2118 w 3022"/>
              <a:gd name="T79" fmla="*/ 16636 h 326"/>
              <a:gd name="T80" fmla="*/ 2165 w 3022"/>
              <a:gd name="T81" fmla="*/ 16710 h 326"/>
              <a:gd name="T82" fmla="*/ 2197 w 3022"/>
              <a:gd name="T83" fmla="*/ 16734 h 326"/>
              <a:gd name="T84" fmla="*/ 2347 w 3022"/>
              <a:gd name="T85" fmla="*/ 16461 h 326"/>
              <a:gd name="T86" fmla="*/ 2415 w 3022"/>
              <a:gd name="T87" fmla="*/ 16461 h 326"/>
              <a:gd name="T88" fmla="*/ 2608 w 3022"/>
              <a:gd name="T89" fmla="*/ 16529 h 326"/>
              <a:gd name="T90" fmla="*/ 2574 w 3022"/>
              <a:gd name="T91" fmla="*/ 16461 h 326"/>
              <a:gd name="T92" fmla="*/ 2590 w 3022"/>
              <a:gd name="T93" fmla="*/ 16563 h 326"/>
              <a:gd name="T94" fmla="*/ 2457 w 3022"/>
              <a:gd name="T95" fmla="*/ 16514 h 326"/>
              <a:gd name="T96" fmla="*/ 2355 w 3022"/>
              <a:gd name="T97" fmla="*/ 16629 h 326"/>
              <a:gd name="T98" fmla="*/ 2354 w 3022"/>
              <a:gd name="T99" fmla="*/ 16552 h 326"/>
              <a:gd name="T100" fmla="*/ 2391 w 3022"/>
              <a:gd name="T101" fmla="*/ 16509 h 326"/>
              <a:gd name="T102" fmla="*/ 2313 w 3022"/>
              <a:gd name="T103" fmla="*/ 16544 h 326"/>
              <a:gd name="T104" fmla="*/ 2313 w 3022"/>
              <a:gd name="T105" fmla="*/ 16638 h 326"/>
              <a:gd name="T106" fmla="*/ 2651 w 3022"/>
              <a:gd name="T107" fmla="*/ 16671 h 326"/>
              <a:gd name="T108" fmla="*/ 2942 w 3022"/>
              <a:gd name="T109" fmla="*/ 16420 h 326"/>
              <a:gd name="T110" fmla="*/ 2971 w 3022"/>
              <a:gd name="T111" fmla="*/ 16490 h 326"/>
              <a:gd name="T112" fmla="*/ 2982 w 3022"/>
              <a:gd name="T113" fmla="*/ 16557 h 326"/>
              <a:gd name="T114" fmla="*/ 2946 w 3022"/>
              <a:gd name="T115" fmla="*/ 16622 h 326"/>
              <a:gd name="T116" fmla="*/ 2869 w 3022"/>
              <a:gd name="T117" fmla="*/ 16636 h 326"/>
              <a:gd name="T118" fmla="*/ 2712 w 3022"/>
              <a:gd name="T119" fmla="*/ 16695 h 326"/>
              <a:gd name="T120" fmla="*/ 2711 w 3022"/>
              <a:gd name="T121" fmla="*/ 16744 h 326"/>
              <a:gd name="T122" fmla="*/ 2909 w 3022"/>
              <a:gd name="T123" fmla="*/ 16671 h 32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3022" h="326">
                <a:moveTo>
                  <a:pt x="75" y="41"/>
                </a:moveTo>
                <a:lnTo>
                  <a:pt x="45" y="41"/>
                </a:lnTo>
                <a:lnTo>
                  <a:pt x="45" y="70"/>
                </a:lnTo>
                <a:lnTo>
                  <a:pt x="75" y="70"/>
                </a:lnTo>
                <a:lnTo>
                  <a:pt x="75" y="41"/>
                </a:lnTo>
                <a:close/>
                <a:moveTo>
                  <a:pt x="113" y="41"/>
                </a:moveTo>
                <a:lnTo>
                  <a:pt x="84" y="41"/>
                </a:lnTo>
                <a:lnTo>
                  <a:pt x="84" y="70"/>
                </a:lnTo>
                <a:lnTo>
                  <a:pt x="113" y="70"/>
                </a:lnTo>
                <a:lnTo>
                  <a:pt x="113" y="41"/>
                </a:lnTo>
                <a:close/>
                <a:moveTo>
                  <a:pt x="151" y="94"/>
                </a:moveTo>
                <a:lnTo>
                  <a:pt x="140" y="92"/>
                </a:lnTo>
                <a:lnTo>
                  <a:pt x="128" y="91"/>
                </a:lnTo>
                <a:lnTo>
                  <a:pt x="113" y="91"/>
                </a:lnTo>
                <a:lnTo>
                  <a:pt x="113" y="126"/>
                </a:lnTo>
                <a:lnTo>
                  <a:pt x="113" y="216"/>
                </a:lnTo>
                <a:lnTo>
                  <a:pt x="70" y="216"/>
                </a:lnTo>
                <a:lnTo>
                  <a:pt x="61" y="215"/>
                </a:lnTo>
                <a:lnTo>
                  <a:pt x="55" y="212"/>
                </a:lnTo>
                <a:lnTo>
                  <a:pt x="49" y="209"/>
                </a:lnTo>
                <a:lnTo>
                  <a:pt x="45" y="205"/>
                </a:lnTo>
                <a:lnTo>
                  <a:pt x="42" y="199"/>
                </a:lnTo>
                <a:lnTo>
                  <a:pt x="40" y="192"/>
                </a:lnTo>
                <a:lnTo>
                  <a:pt x="38" y="182"/>
                </a:lnTo>
                <a:lnTo>
                  <a:pt x="38" y="159"/>
                </a:lnTo>
                <a:lnTo>
                  <a:pt x="40" y="150"/>
                </a:lnTo>
                <a:lnTo>
                  <a:pt x="42" y="143"/>
                </a:lnTo>
                <a:lnTo>
                  <a:pt x="45" y="137"/>
                </a:lnTo>
                <a:lnTo>
                  <a:pt x="49" y="132"/>
                </a:lnTo>
                <a:lnTo>
                  <a:pt x="61" y="127"/>
                </a:lnTo>
                <a:lnTo>
                  <a:pt x="69" y="125"/>
                </a:lnTo>
                <a:lnTo>
                  <a:pt x="90" y="125"/>
                </a:lnTo>
                <a:lnTo>
                  <a:pt x="101" y="126"/>
                </a:lnTo>
                <a:lnTo>
                  <a:pt x="113" y="126"/>
                </a:lnTo>
                <a:lnTo>
                  <a:pt x="113" y="91"/>
                </a:lnTo>
                <a:lnTo>
                  <a:pt x="98" y="90"/>
                </a:lnTo>
                <a:lnTo>
                  <a:pt x="85" y="89"/>
                </a:lnTo>
                <a:lnTo>
                  <a:pt x="77" y="89"/>
                </a:lnTo>
                <a:lnTo>
                  <a:pt x="63" y="90"/>
                </a:lnTo>
                <a:lnTo>
                  <a:pt x="52" y="91"/>
                </a:lnTo>
                <a:lnTo>
                  <a:pt x="41" y="94"/>
                </a:lnTo>
                <a:lnTo>
                  <a:pt x="32" y="97"/>
                </a:lnTo>
                <a:lnTo>
                  <a:pt x="21" y="103"/>
                </a:lnTo>
                <a:lnTo>
                  <a:pt x="12" y="111"/>
                </a:lnTo>
                <a:lnTo>
                  <a:pt x="7" y="124"/>
                </a:lnTo>
                <a:lnTo>
                  <a:pt x="4" y="133"/>
                </a:lnTo>
                <a:lnTo>
                  <a:pt x="2" y="144"/>
                </a:lnTo>
                <a:lnTo>
                  <a:pt x="0" y="156"/>
                </a:lnTo>
                <a:lnTo>
                  <a:pt x="0" y="170"/>
                </a:lnTo>
                <a:lnTo>
                  <a:pt x="0" y="184"/>
                </a:lnTo>
                <a:lnTo>
                  <a:pt x="2" y="197"/>
                </a:lnTo>
                <a:lnTo>
                  <a:pt x="4" y="208"/>
                </a:lnTo>
                <a:lnTo>
                  <a:pt x="7" y="218"/>
                </a:lnTo>
                <a:lnTo>
                  <a:pt x="13" y="230"/>
                </a:lnTo>
                <a:lnTo>
                  <a:pt x="21" y="239"/>
                </a:lnTo>
                <a:lnTo>
                  <a:pt x="33" y="244"/>
                </a:lnTo>
                <a:lnTo>
                  <a:pt x="42" y="247"/>
                </a:lnTo>
                <a:lnTo>
                  <a:pt x="53" y="250"/>
                </a:lnTo>
                <a:lnTo>
                  <a:pt x="65" y="251"/>
                </a:lnTo>
                <a:lnTo>
                  <a:pt x="78" y="251"/>
                </a:lnTo>
                <a:lnTo>
                  <a:pt x="151" y="251"/>
                </a:lnTo>
                <a:lnTo>
                  <a:pt x="151" y="216"/>
                </a:lnTo>
                <a:lnTo>
                  <a:pt x="151" y="125"/>
                </a:lnTo>
                <a:lnTo>
                  <a:pt x="151" y="94"/>
                </a:lnTo>
                <a:close/>
                <a:moveTo>
                  <a:pt x="251" y="93"/>
                </a:moveTo>
                <a:lnTo>
                  <a:pt x="213" y="93"/>
                </a:lnTo>
                <a:lnTo>
                  <a:pt x="213" y="254"/>
                </a:lnTo>
                <a:lnTo>
                  <a:pt x="213" y="266"/>
                </a:lnTo>
                <a:lnTo>
                  <a:pt x="211" y="275"/>
                </a:lnTo>
                <a:lnTo>
                  <a:pt x="203" y="287"/>
                </a:lnTo>
                <a:lnTo>
                  <a:pt x="198" y="290"/>
                </a:lnTo>
                <a:lnTo>
                  <a:pt x="187" y="290"/>
                </a:lnTo>
                <a:lnTo>
                  <a:pt x="170" y="289"/>
                </a:lnTo>
                <a:lnTo>
                  <a:pt x="170" y="324"/>
                </a:lnTo>
                <a:lnTo>
                  <a:pt x="192" y="325"/>
                </a:lnTo>
                <a:lnTo>
                  <a:pt x="197" y="325"/>
                </a:lnTo>
                <a:lnTo>
                  <a:pt x="210" y="324"/>
                </a:lnTo>
                <a:lnTo>
                  <a:pt x="221" y="320"/>
                </a:lnTo>
                <a:lnTo>
                  <a:pt x="230" y="314"/>
                </a:lnTo>
                <a:lnTo>
                  <a:pt x="238" y="305"/>
                </a:lnTo>
                <a:lnTo>
                  <a:pt x="244" y="294"/>
                </a:lnTo>
                <a:lnTo>
                  <a:pt x="248" y="281"/>
                </a:lnTo>
                <a:lnTo>
                  <a:pt x="250" y="265"/>
                </a:lnTo>
                <a:lnTo>
                  <a:pt x="251" y="248"/>
                </a:lnTo>
                <a:lnTo>
                  <a:pt x="251" y="93"/>
                </a:lnTo>
                <a:close/>
                <a:moveTo>
                  <a:pt x="430" y="271"/>
                </a:moveTo>
                <a:lnTo>
                  <a:pt x="400" y="271"/>
                </a:lnTo>
                <a:lnTo>
                  <a:pt x="400" y="299"/>
                </a:lnTo>
                <a:lnTo>
                  <a:pt x="430" y="299"/>
                </a:lnTo>
                <a:lnTo>
                  <a:pt x="430" y="271"/>
                </a:lnTo>
                <a:close/>
                <a:moveTo>
                  <a:pt x="581" y="41"/>
                </a:moveTo>
                <a:lnTo>
                  <a:pt x="552" y="41"/>
                </a:lnTo>
                <a:lnTo>
                  <a:pt x="552" y="70"/>
                </a:lnTo>
                <a:lnTo>
                  <a:pt x="581" y="70"/>
                </a:lnTo>
                <a:lnTo>
                  <a:pt x="581" y="41"/>
                </a:lnTo>
                <a:close/>
                <a:moveTo>
                  <a:pt x="619" y="41"/>
                </a:moveTo>
                <a:lnTo>
                  <a:pt x="590" y="41"/>
                </a:lnTo>
                <a:lnTo>
                  <a:pt x="590" y="70"/>
                </a:lnTo>
                <a:lnTo>
                  <a:pt x="619" y="70"/>
                </a:lnTo>
                <a:lnTo>
                  <a:pt x="619" y="41"/>
                </a:lnTo>
                <a:close/>
                <a:moveTo>
                  <a:pt x="815" y="29"/>
                </a:moveTo>
                <a:lnTo>
                  <a:pt x="776" y="29"/>
                </a:lnTo>
                <a:lnTo>
                  <a:pt x="776" y="216"/>
                </a:lnTo>
                <a:lnTo>
                  <a:pt x="714" y="216"/>
                </a:lnTo>
                <a:lnTo>
                  <a:pt x="714" y="29"/>
                </a:lnTo>
                <a:lnTo>
                  <a:pt x="676" y="29"/>
                </a:lnTo>
                <a:lnTo>
                  <a:pt x="676" y="216"/>
                </a:lnTo>
                <a:lnTo>
                  <a:pt x="605" y="216"/>
                </a:lnTo>
                <a:lnTo>
                  <a:pt x="605" y="92"/>
                </a:lnTo>
                <a:lnTo>
                  <a:pt x="566" y="92"/>
                </a:lnTo>
                <a:lnTo>
                  <a:pt x="566" y="216"/>
                </a:lnTo>
                <a:lnTo>
                  <a:pt x="499" y="216"/>
                </a:lnTo>
                <a:lnTo>
                  <a:pt x="499" y="145"/>
                </a:lnTo>
                <a:lnTo>
                  <a:pt x="498" y="131"/>
                </a:lnTo>
                <a:lnTo>
                  <a:pt x="495" y="119"/>
                </a:lnTo>
                <a:lnTo>
                  <a:pt x="490" y="110"/>
                </a:lnTo>
                <a:lnTo>
                  <a:pt x="484" y="102"/>
                </a:lnTo>
                <a:lnTo>
                  <a:pt x="476" y="97"/>
                </a:lnTo>
                <a:lnTo>
                  <a:pt x="466" y="93"/>
                </a:lnTo>
                <a:lnTo>
                  <a:pt x="456" y="90"/>
                </a:lnTo>
                <a:lnTo>
                  <a:pt x="444" y="90"/>
                </a:lnTo>
                <a:lnTo>
                  <a:pt x="435" y="90"/>
                </a:lnTo>
                <a:lnTo>
                  <a:pt x="423" y="90"/>
                </a:lnTo>
                <a:lnTo>
                  <a:pt x="396" y="94"/>
                </a:lnTo>
                <a:lnTo>
                  <a:pt x="384" y="97"/>
                </a:lnTo>
                <a:lnTo>
                  <a:pt x="369" y="100"/>
                </a:lnTo>
                <a:lnTo>
                  <a:pt x="370" y="129"/>
                </a:lnTo>
                <a:lnTo>
                  <a:pt x="415" y="125"/>
                </a:lnTo>
                <a:lnTo>
                  <a:pt x="437" y="124"/>
                </a:lnTo>
                <a:lnTo>
                  <a:pt x="454" y="124"/>
                </a:lnTo>
                <a:lnTo>
                  <a:pt x="461" y="131"/>
                </a:lnTo>
                <a:lnTo>
                  <a:pt x="461" y="216"/>
                </a:lnTo>
                <a:lnTo>
                  <a:pt x="325" y="216"/>
                </a:lnTo>
                <a:lnTo>
                  <a:pt x="325" y="29"/>
                </a:lnTo>
                <a:lnTo>
                  <a:pt x="287" y="29"/>
                </a:lnTo>
                <a:lnTo>
                  <a:pt x="287" y="251"/>
                </a:lnTo>
                <a:lnTo>
                  <a:pt x="815" y="251"/>
                </a:lnTo>
                <a:lnTo>
                  <a:pt x="815" y="29"/>
                </a:lnTo>
                <a:close/>
                <a:moveTo>
                  <a:pt x="989" y="93"/>
                </a:moveTo>
                <a:lnTo>
                  <a:pt x="951" y="93"/>
                </a:lnTo>
                <a:lnTo>
                  <a:pt x="951" y="254"/>
                </a:lnTo>
                <a:lnTo>
                  <a:pt x="951" y="266"/>
                </a:lnTo>
                <a:lnTo>
                  <a:pt x="949" y="275"/>
                </a:lnTo>
                <a:lnTo>
                  <a:pt x="941" y="287"/>
                </a:lnTo>
                <a:lnTo>
                  <a:pt x="936" y="290"/>
                </a:lnTo>
                <a:lnTo>
                  <a:pt x="925" y="290"/>
                </a:lnTo>
                <a:lnTo>
                  <a:pt x="908" y="289"/>
                </a:lnTo>
                <a:lnTo>
                  <a:pt x="908" y="324"/>
                </a:lnTo>
                <a:lnTo>
                  <a:pt x="930" y="325"/>
                </a:lnTo>
                <a:lnTo>
                  <a:pt x="935" y="325"/>
                </a:lnTo>
                <a:lnTo>
                  <a:pt x="948" y="324"/>
                </a:lnTo>
                <a:lnTo>
                  <a:pt x="959" y="320"/>
                </a:lnTo>
                <a:lnTo>
                  <a:pt x="968" y="314"/>
                </a:lnTo>
                <a:lnTo>
                  <a:pt x="976" y="305"/>
                </a:lnTo>
                <a:lnTo>
                  <a:pt x="982" y="294"/>
                </a:lnTo>
                <a:lnTo>
                  <a:pt x="986" y="281"/>
                </a:lnTo>
                <a:lnTo>
                  <a:pt x="988" y="265"/>
                </a:lnTo>
                <a:lnTo>
                  <a:pt x="989" y="248"/>
                </a:lnTo>
                <a:lnTo>
                  <a:pt x="989" y="93"/>
                </a:lnTo>
                <a:close/>
                <a:moveTo>
                  <a:pt x="1088" y="271"/>
                </a:moveTo>
                <a:lnTo>
                  <a:pt x="1059" y="271"/>
                </a:lnTo>
                <a:lnTo>
                  <a:pt x="1059" y="299"/>
                </a:lnTo>
                <a:lnTo>
                  <a:pt x="1088" y="299"/>
                </a:lnTo>
                <a:lnTo>
                  <a:pt x="1088" y="271"/>
                </a:lnTo>
                <a:close/>
                <a:moveTo>
                  <a:pt x="1126" y="271"/>
                </a:moveTo>
                <a:lnTo>
                  <a:pt x="1097" y="271"/>
                </a:lnTo>
                <a:lnTo>
                  <a:pt x="1097" y="299"/>
                </a:lnTo>
                <a:lnTo>
                  <a:pt x="1126" y="299"/>
                </a:lnTo>
                <a:lnTo>
                  <a:pt x="1126" y="271"/>
                </a:lnTo>
                <a:close/>
                <a:moveTo>
                  <a:pt x="1203" y="41"/>
                </a:moveTo>
                <a:lnTo>
                  <a:pt x="1173" y="41"/>
                </a:lnTo>
                <a:lnTo>
                  <a:pt x="1173" y="70"/>
                </a:lnTo>
                <a:lnTo>
                  <a:pt x="1203" y="70"/>
                </a:lnTo>
                <a:lnTo>
                  <a:pt x="1203" y="41"/>
                </a:lnTo>
                <a:close/>
                <a:moveTo>
                  <a:pt x="1241" y="41"/>
                </a:moveTo>
                <a:lnTo>
                  <a:pt x="1212" y="41"/>
                </a:lnTo>
                <a:lnTo>
                  <a:pt x="1212" y="70"/>
                </a:lnTo>
                <a:lnTo>
                  <a:pt x="1241" y="70"/>
                </a:lnTo>
                <a:lnTo>
                  <a:pt x="1241" y="41"/>
                </a:lnTo>
                <a:close/>
                <a:moveTo>
                  <a:pt x="1422" y="29"/>
                </a:moveTo>
                <a:lnTo>
                  <a:pt x="1393" y="29"/>
                </a:lnTo>
                <a:lnTo>
                  <a:pt x="1393" y="58"/>
                </a:lnTo>
                <a:lnTo>
                  <a:pt x="1422" y="58"/>
                </a:lnTo>
                <a:lnTo>
                  <a:pt x="1422" y="29"/>
                </a:lnTo>
                <a:close/>
                <a:moveTo>
                  <a:pt x="1471" y="145"/>
                </a:moveTo>
                <a:lnTo>
                  <a:pt x="1470" y="131"/>
                </a:lnTo>
                <a:lnTo>
                  <a:pt x="1467" y="119"/>
                </a:lnTo>
                <a:lnTo>
                  <a:pt x="1463" y="110"/>
                </a:lnTo>
                <a:lnTo>
                  <a:pt x="1456" y="102"/>
                </a:lnTo>
                <a:lnTo>
                  <a:pt x="1448" y="97"/>
                </a:lnTo>
                <a:lnTo>
                  <a:pt x="1439" y="93"/>
                </a:lnTo>
                <a:lnTo>
                  <a:pt x="1428" y="90"/>
                </a:lnTo>
                <a:lnTo>
                  <a:pt x="1416" y="90"/>
                </a:lnTo>
                <a:lnTo>
                  <a:pt x="1407" y="90"/>
                </a:lnTo>
                <a:lnTo>
                  <a:pt x="1395" y="90"/>
                </a:lnTo>
                <a:lnTo>
                  <a:pt x="1368" y="94"/>
                </a:lnTo>
                <a:lnTo>
                  <a:pt x="1356" y="97"/>
                </a:lnTo>
                <a:lnTo>
                  <a:pt x="1341" y="100"/>
                </a:lnTo>
                <a:lnTo>
                  <a:pt x="1343" y="129"/>
                </a:lnTo>
                <a:lnTo>
                  <a:pt x="1387" y="125"/>
                </a:lnTo>
                <a:lnTo>
                  <a:pt x="1409" y="124"/>
                </a:lnTo>
                <a:lnTo>
                  <a:pt x="1426" y="124"/>
                </a:lnTo>
                <a:lnTo>
                  <a:pt x="1433" y="131"/>
                </a:lnTo>
                <a:lnTo>
                  <a:pt x="1433" y="216"/>
                </a:lnTo>
                <a:lnTo>
                  <a:pt x="1281" y="216"/>
                </a:lnTo>
                <a:lnTo>
                  <a:pt x="1281" y="92"/>
                </a:lnTo>
                <a:lnTo>
                  <a:pt x="1243" y="92"/>
                </a:lnTo>
                <a:lnTo>
                  <a:pt x="1243" y="216"/>
                </a:lnTo>
                <a:lnTo>
                  <a:pt x="1164" y="216"/>
                </a:lnTo>
                <a:lnTo>
                  <a:pt x="1164" y="92"/>
                </a:lnTo>
                <a:lnTo>
                  <a:pt x="1126" y="92"/>
                </a:lnTo>
                <a:lnTo>
                  <a:pt x="1126" y="216"/>
                </a:lnTo>
                <a:lnTo>
                  <a:pt x="1064" y="216"/>
                </a:lnTo>
                <a:lnTo>
                  <a:pt x="1064" y="29"/>
                </a:lnTo>
                <a:lnTo>
                  <a:pt x="1025" y="29"/>
                </a:lnTo>
                <a:lnTo>
                  <a:pt x="1025" y="251"/>
                </a:lnTo>
                <a:lnTo>
                  <a:pt x="1471" y="251"/>
                </a:lnTo>
                <a:lnTo>
                  <a:pt x="1471" y="145"/>
                </a:lnTo>
                <a:close/>
                <a:moveTo>
                  <a:pt x="1647" y="30"/>
                </a:moveTo>
                <a:lnTo>
                  <a:pt x="1609" y="30"/>
                </a:lnTo>
                <a:lnTo>
                  <a:pt x="1609" y="70"/>
                </a:lnTo>
                <a:lnTo>
                  <a:pt x="1609" y="216"/>
                </a:lnTo>
                <a:lnTo>
                  <a:pt x="1567" y="216"/>
                </a:lnTo>
                <a:lnTo>
                  <a:pt x="1567" y="70"/>
                </a:lnTo>
                <a:lnTo>
                  <a:pt x="1529" y="70"/>
                </a:lnTo>
                <a:lnTo>
                  <a:pt x="1529" y="216"/>
                </a:lnTo>
                <a:lnTo>
                  <a:pt x="1491" y="216"/>
                </a:lnTo>
                <a:lnTo>
                  <a:pt x="1491" y="252"/>
                </a:lnTo>
                <a:lnTo>
                  <a:pt x="1647" y="252"/>
                </a:lnTo>
                <a:lnTo>
                  <a:pt x="1647" y="216"/>
                </a:lnTo>
                <a:lnTo>
                  <a:pt x="1647" y="70"/>
                </a:lnTo>
                <a:lnTo>
                  <a:pt x="1647" y="30"/>
                </a:lnTo>
                <a:close/>
                <a:moveTo>
                  <a:pt x="1724" y="29"/>
                </a:moveTo>
                <a:lnTo>
                  <a:pt x="1686" y="29"/>
                </a:lnTo>
                <a:lnTo>
                  <a:pt x="1686" y="251"/>
                </a:lnTo>
                <a:lnTo>
                  <a:pt x="1724" y="251"/>
                </a:lnTo>
                <a:lnTo>
                  <a:pt x="1724" y="29"/>
                </a:lnTo>
                <a:close/>
                <a:moveTo>
                  <a:pt x="1896" y="41"/>
                </a:moveTo>
                <a:lnTo>
                  <a:pt x="1867" y="41"/>
                </a:lnTo>
                <a:lnTo>
                  <a:pt x="1867" y="70"/>
                </a:lnTo>
                <a:lnTo>
                  <a:pt x="1896" y="70"/>
                </a:lnTo>
                <a:lnTo>
                  <a:pt x="1896" y="41"/>
                </a:lnTo>
                <a:close/>
                <a:moveTo>
                  <a:pt x="2118" y="172"/>
                </a:moveTo>
                <a:lnTo>
                  <a:pt x="2117" y="152"/>
                </a:lnTo>
                <a:lnTo>
                  <a:pt x="2114" y="135"/>
                </a:lnTo>
                <a:lnTo>
                  <a:pt x="2110" y="125"/>
                </a:lnTo>
                <a:lnTo>
                  <a:pt x="2108" y="121"/>
                </a:lnTo>
                <a:lnTo>
                  <a:pt x="2100" y="109"/>
                </a:lnTo>
                <a:lnTo>
                  <a:pt x="2089" y="101"/>
                </a:lnTo>
                <a:lnTo>
                  <a:pt x="2080" y="96"/>
                </a:lnTo>
                <a:lnTo>
                  <a:pt x="2080" y="154"/>
                </a:lnTo>
                <a:lnTo>
                  <a:pt x="2080" y="216"/>
                </a:lnTo>
                <a:lnTo>
                  <a:pt x="2016" y="216"/>
                </a:lnTo>
                <a:lnTo>
                  <a:pt x="2015" y="211"/>
                </a:lnTo>
                <a:lnTo>
                  <a:pt x="2014" y="205"/>
                </a:lnTo>
                <a:lnTo>
                  <a:pt x="2014" y="199"/>
                </a:lnTo>
                <a:lnTo>
                  <a:pt x="2013" y="191"/>
                </a:lnTo>
                <a:lnTo>
                  <a:pt x="2012" y="184"/>
                </a:lnTo>
                <a:lnTo>
                  <a:pt x="2012" y="172"/>
                </a:lnTo>
                <a:lnTo>
                  <a:pt x="2013" y="163"/>
                </a:lnTo>
                <a:lnTo>
                  <a:pt x="2013" y="151"/>
                </a:lnTo>
                <a:lnTo>
                  <a:pt x="2014" y="139"/>
                </a:lnTo>
                <a:lnTo>
                  <a:pt x="2016" y="127"/>
                </a:lnTo>
                <a:lnTo>
                  <a:pt x="2023" y="125"/>
                </a:lnTo>
                <a:lnTo>
                  <a:pt x="2030" y="125"/>
                </a:lnTo>
                <a:lnTo>
                  <a:pt x="2052" y="125"/>
                </a:lnTo>
                <a:lnTo>
                  <a:pt x="2063" y="128"/>
                </a:lnTo>
                <a:lnTo>
                  <a:pt x="2070" y="135"/>
                </a:lnTo>
                <a:lnTo>
                  <a:pt x="2076" y="143"/>
                </a:lnTo>
                <a:lnTo>
                  <a:pt x="2080" y="154"/>
                </a:lnTo>
                <a:lnTo>
                  <a:pt x="2080" y="96"/>
                </a:lnTo>
                <a:lnTo>
                  <a:pt x="2076" y="94"/>
                </a:lnTo>
                <a:lnTo>
                  <a:pt x="2060" y="91"/>
                </a:lnTo>
                <a:lnTo>
                  <a:pt x="2041" y="89"/>
                </a:lnTo>
                <a:lnTo>
                  <a:pt x="2030" y="89"/>
                </a:lnTo>
                <a:lnTo>
                  <a:pt x="2019" y="90"/>
                </a:lnTo>
                <a:lnTo>
                  <a:pt x="2000" y="94"/>
                </a:lnTo>
                <a:lnTo>
                  <a:pt x="1992" y="96"/>
                </a:lnTo>
                <a:lnTo>
                  <a:pt x="1984" y="100"/>
                </a:lnTo>
                <a:lnTo>
                  <a:pt x="1981" y="111"/>
                </a:lnTo>
                <a:lnTo>
                  <a:pt x="1979" y="122"/>
                </a:lnTo>
                <a:lnTo>
                  <a:pt x="1977" y="135"/>
                </a:lnTo>
                <a:lnTo>
                  <a:pt x="1975" y="148"/>
                </a:lnTo>
                <a:lnTo>
                  <a:pt x="1974" y="161"/>
                </a:lnTo>
                <a:lnTo>
                  <a:pt x="1975" y="184"/>
                </a:lnTo>
                <a:lnTo>
                  <a:pt x="1975" y="194"/>
                </a:lnTo>
                <a:lnTo>
                  <a:pt x="1976" y="205"/>
                </a:lnTo>
                <a:lnTo>
                  <a:pt x="1978" y="216"/>
                </a:lnTo>
                <a:lnTo>
                  <a:pt x="1930" y="216"/>
                </a:lnTo>
                <a:lnTo>
                  <a:pt x="1899" y="216"/>
                </a:lnTo>
                <a:lnTo>
                  <a:pt x="1899" y="93"/>
                </a:lnTo>
                <a:lnTo>
                  <a:pt x="1861" y="93"/>
                </a:lnTo>
                <a:lnTo>
                  <a:pt x="1861" y="266"/>
                </a:lnTo>
                <a:lnTo>
                  <a:pt x="1859" y="275"/>
                </a:lnTo>
                <a:lnTo>
                  <a:pt x="1852" y="287"/>
                </a:lnTo>
                <a:lnTo>
                  <a:pt x="1846" y="290"/>
                </a:lnTo>
                <a:lnTo>
                  <a:pt x="1835" y="290"/>
                </a:lnTo>
                <a:lnTo>
                  <a:pt x="1830" y="290"/>
                </a:lnTo>
                <a:lnTo>
                  <a:pt x="1818" y="289"/>
                </a:lnTo>
                <a:lnTo>
                  <a:pt x="1818" y="324"/>
                </a:lnTo>
                <a:lnTo>
                  <a:pt x="1830" y="325"/>
                </a:lnTo>
                <a:lnTo>
                  <a:pt x="1835" y="325"/>
                </a:lnTo>
                <a:lnTo>
                  <a:pt x="1840" y="325"/>
                </a:lnTo>
                <a:lnTo>
                  <a:pt x="1845" y="325"/>
                </a:lnTo>
                <a:lnTo>
                  <a:pt x="1858" y="324"/>
                </a:lnTo>
                <a:lnTo>
                  <a:pt x="1869" y="320"/>
                </a:lnTo>
                <a:lnTo>
                  <a:pt x="1878" y="314"/>
                </a:lnTo>
                <a:lnTo>
                  <a:pt x="1886" y="305"/>
                </a:lnTo>
                <a:lnTo>
                  <a:pt x="1892" y="294"/>
                </a:lnTo>
                <a:lnTo>
                  <a:pt x="1893" y="290"/>
                </a:lnTo>
                <a:lnTo>
                  <a:pt x="1896" y="282"/>
                </a:lnTo>
                <a:lnTo>
                  <a:pt x="1898" y="268"/>
                </a:lnTo>
                <a:lnTo>
                  <a:pt x="1899" y="251"/>
                </a:lnTo>
                <a:lnTo>
                  <a:pt x="1930" y="251"/>
                </a:lnTo>
                <a:lnTo>
                  <a:pt x="2118" y="251"/>
                </a:lnTo>
                <a:lnTo>
                  <a:pt x="2118" y="216"/>
                </a:lnTo>
                <a:lnTo>
                  <a:pt x="2118" y="172"/>
                </a:lnTo>
                <a:close/>
                <a:moveTo>
                  <a:pt x="2218" y="93"/>
                </a:moveTo>
                <a:lnTo>
                  <a:pt x="2180" y="93"/>
                </a:lnTo>
                <a:lnTo>
                  <a:pt x="2180" y="254"/>
                </a:lnTo>
                <a:lnTo>
                  <a:pt x="2180" y="266"/>
                </a:lnTo>
                <a:lnTo>
                  <a:pt x="2178" y="275"/>
                </a:lnTo>
                <a:lnTo>
                  <a:pt x="2170" y="287"/>
                </a:lnTo>
                <a:lnTo>
                  <a:pt x="2165" y="290"/>
                </a:lnTo>
                <a:lnTo>
                  <a:pt x="2154" y="290"/>
                </a:lnTo>
                <a:lnTo>
                  <a:pt x="2137" y="289"/>
                </a:lnTo>
                <a:lnTo>
                  <a:pt x="2137" y="324"/>
                </a:lnTo>
                <a:lnTo>
                  <a:pt x="2159" y="325"/>
                </a:lnTo>
                <a:lnTo>
                  <a:pt x="2164" y="325"/>
                </a:lnTo>
                <a:lnTo>
                  <a:pt x="2176" y="324"/>
                </a:lnTo>
                <a:lnTo>
                  <a:pt x="2188" y="320"/>
                </a:lnTo>
                <a:lnTo>
                  <a:pt x="2197" y="314"/>
                </a:lnTo>
                <a:lnTo>
                  <a:pt x="2205" y="305"/>
                </a:lnTo>
                <a:lnTo>
                  <a:pt x="2210" y="294"/>
                </a:lnTo>
                <a:lnTo>
                  <a:pt x="2215" y="281"/>
                </a:lnTo>
                <a:lnTo>
                  <a:pt x="2217" y="265"/>
                </a:lnTo>
                <a:lnTo>
                  <a:pt x="2218" y="248"/>
                </a:lnTo>
                <a:lnTo>
                  <a:pt x="2218" y="93"/>
                </a:lnTo>
                <a:close/>
                <a:moveTo>
                  <a:pt x="2376" y="41"/>
                </a:moveTo>
                <a:lnTo>
                  <a:pt x="2347" y="41"/>
                </a:lnTo>
                <a:lnTo>
                  <a:pt x="2347" y="70"/>
                </a:lnTo>
                <a:lnTo>
                  <a:pt x="2376" y="70"/>
                </a:lnTo>
                <a:lnTo>
                  <a:pt x="2376" y="41"/>
                </a:lnTo>
                <a:close/>
                <a:moveTo>
                  <a:pt x="2415" y="41"/>
                </a:moveTo>
                <a:lnTo>
                  <a:pt x="2386" y="41"/>
                </a:lnTo>
                <a:lnTo>
                  <a:pt x="2386" y="70"/>
                </a:lnTo>
                <a:lnTo>
                  <a:pt x="2415" y="70"/>
                </a:lnTo>
                <a:lnTo>
                  <a:pt x="2415" y="41"/>
                </a:lnTo>
                <a:close/>
                <a:moveTo>
                  <a:pt x="2651" y="180"/>
                </a:moveTo>
                <a:lnTo>
                  <a:pt x="2650" y="166"/>
                </a:lnTo>
                <a:lnTo>
                  <a:pt x="2648" y="153"/>
                </a:lnTo>
                <a:lnTo>
                  <a:pt x="2644" y="141"/>
                </a:lnTo>
                <a:lnTo>
                  <a:pt x="2638" y="130"/>
                </a:lnTo>
                <a:lnTo>
                  <a:pt x="2630" y="121"/>
                </a:lnTo>
                <a:lnTo>
                  <a:pt x="2620" y="114"/>
                </a:lnTo>
                <a:lnTo>
                  <a:pt x="2608" y="109"/>
                </a:lnTo>
                <a:lnTo>
                  <a:pt x="2594" y="108"/>
                </a:lnTo>
                <a:lnTo>
                  <a:pt x="2534" y="108"/>
                </a:lnTo>
                <a:lnTo>
                  <a:pt x="2540" y="97"/>
                </a:lnTo>
                <a:lnTo>
                  <a:pt x="2546" y="85"/>
                </a:lnTo>
                <a:lnTo>
                  <a:pt x="2553" y="73"/>
                </a:lnTo>
                <a:lnTo>
                  <a:pt x="2561" y="60"/>
                </a:lnTo>
                <a:lnTo>
                  <a:pt x="2571" y="45"/>
                </a:lnTo>
                <a:lnTo>
                  <a:pt x="2574" y="41"/>
                </a:lnTo>
                <a:lnTo>
                  <a:pt x="2545" y="24"/>
                </a:lnTo>
                <a:lnTo>
                  <a:pt x="2535" y="36"/>
                </a:lnTo>
                <a:lnTo>
                  <a:pt x="2528" y="45"/>
                </a:lnTo>
                <a:lnTo>
                  <a:pt x="2514" y="65"/>
                </a:lnTo>
                <a:lnTo>
                  <a:pt x="2509" y="74"/>
                </a:lnTo>
                <a:lnTo>
                  <a:pt x="2487" y="116"/>
                </a:lnTo>
                <a:lnTo>
                  <a:pt x="2507" y="143"/>
                </a:lnTo>
                <a:lnTo>
                  <a:pt x="2590" y="143"/>
                </a:lnTo>
                <a:lnTo>
                  <a:pt x="2598" y="143"/>
                </a:lnTo>
                <a:lnTo>
                  <a:pt x="2603" y="147"/>
                </a:lnTo>
                <a:lnTo>
                  <a:pt x="2611" y="161"/>
                </a:lnTo>
                <a:lnTo>
                  <a:pt x="2613" y="169"/>
                </a:lnTo>
                <a:lnTo>
                  <a:pt x="2613" y="216"/>
                </a:lnTo>
                <a:lnTo>
                  <a:pt x="2457" y="216"/>
                </a:lnTo>
                <a:lnTo>
                  <a:pt x="2457" y="125"/>
                </a:lnTo>
                <a:lnTo>
                  <a:pt x="2457" y="94"/>
                </a:lnTo>
                <a:lnTo>
                  <a:pt x="2445" y="92"/>
                </a:lnTo>
                <a:lnTo>
                  <a:pt x="2434" y="91"/>
                </a:lnTo>
                <a:lnTo>
                  <a:pt x="2419" y="91"/>
                </a:lnTo>
                <a:lnTo>
                  <a:pt x="2419" y="126"/>
                </a:lnTo>
                <a:lnTo>
                  <a:pt x="2419" y="216"/>
                </a:lnTo>
                <a:lnTo>
                  <a:pt x="2376" y="216"/>
                </a:lnTo>
                <a:lnTo>
                  <a:pt x="2367" y="215"/>
                </a:lnTo>
                <a:lnTo>
                  <a:pt x="2355" y="209"/>
                </a:lnTo>
                <a:lnTo>
                  <a:pt x="2350" y="205"/>
                </a:lnTo>
                <a:lnTo>
                  <a:pt x="2348" y="198"/>
                </a:lnTo>
                <a:lnTo>
                  <a:pt x="2345" y="192"/>
                </a:lnTo>
                <a:lnTo>
                  <a:pt x="2344" y="182"/>
                </a:lnTo>
                <a:lnTo>
                  <a:pt x="2344" y="158"/>
                </a:lnTo>
                <a:lnTo>
                  <a:pt x="2345" y="149"/>
                </a:lnTo>
                <a:lnTo>
                  <a:pt x="2350" y="137"/>
                </a:lnTo>
                <a:lnTo>
                  <a:pt x="2354" y="132"/>
                </a:lnTo>
                <a:lnTo>
                  <a:pt x="2366" y="127"/>
                </a:lnTo>
                <a:lnTo>
                  <a:pt x="2375" y="125"/>
                </a:lnTo>
                <a:lnTo>
                  <a:pt x="2396" y="125"/>
                </a:lnTo>
                <a:lnTo>
                  <a:pt x="2407" y="126"/>
                </a:lnTo>
                <a:lnTo>
                  <a:pt x="2419" y="126"/>
                </a:lnTo>
                <a:lnTo>
                  <a:pt x="2419" y="91"/>
                </a:lnTo>
                <a:lnTo>
                  <a:pt x="2403" y="90"/>
                </a:lnTo>
                <a:lnTo>
                  <a:pt x="2391" y="89"/>
                </a:lnTo>
                <a:lnTo>
                  <a:pt x="2382" y="89"/>
                </a:lnTo>
                <a:lnTo>
                  <a:pt x="2369" y="90"/>
                </a:lnTo>
                <a:lnTo>
                  <a:pt x="2357" y="91"/>
                </a:lnTo>
                <a:lnTo>
                  <a:pt x="2347" y="94"/>
                </a:lnTo>
                <a:lnTo>
                  <a:pt x="2337" y="97"/>
                </a:lnTo>
                <a:lnTo>
                  <a:pt x="2326" y="103"/>
                </a:lnTo>
                <a:lnTo>
                  <a:pt x="2318" y="111"/>
                </a:lnTo>
                <a:lnTo>
                  <a:pt x="2313" y="124"/>
                </a:lnTo>
                <a:lnTo>
                  <a:pt x="2310" y="133"/>
                </a:lnTo>
                <a:lnTo>
                  <a:pt x="2307" y="144"/>
                </a:lnTo>
                <a:lnTo>
                  <a:pt x="2306" y="156"/>
                </a:lnTo>
                <a:lnTo>
                  <a:pt x="2306" y="170"/>
                </a:lnTo>
                <a:lnTo>
                  <a:pt x="2306" y="185"/>
                </a:lnTo>
                <a:lnTo>
                  <a:pt x="2307" y="198"/>
                </a:lnTo>
                <a:lnTo>
                  <a:pt x="2310" y="208"/>
                </a:lnTo>
                <a:lnTo>
                  <a:pt x="2313" y="218"/>
                </a:lnTo>
                <a:lnTo>
                  <a:pt x="2318" y="230"/>
                </a:lnTo>
                <a:lnTo>
                  <a:pt x="2327" y="239"/>
                </a:lnTo>
                <a:lnTo>
                  <a:pt x="2338" y="244"/>
                </a:lnTo>
                <a:lnTo>
                  <a:pt x="2347" y="247"/>
                </a:lnTo>
                <a:lnTo>
                  <a:pt x="2358" y="249"/>
                </a:lnTo>
                <a:lnTo>
                  <a:pt x="2370" y="251"/>
                </a:lnTo>
                <a:lnTo>
                  <a:pt x="2384" y="251"/>
                </a:lnTo>
                <a:lnTo>
                  <a:pt x="2651" y="251"/>
                </a:lnTo>
                <a:lnTo>
                  <a:pt x="2651" y="216"/>
                </a:lnTo>
                <a:lnTo>
                  <a:pt x="2651" y="180"/>
                </a:lnTo>
                <a:close/>
                <a:moveTo>
                  <a:pt x="2913" y="41"/>
                </a:moveTo>
                <a:lnTo>
                  <a:pt x="2883" y="41"/>
                </a:lnTo>
                <a:lnTo>
                  <a:pt x="2883" y="70"/>
                </a:lnTo>
                <a:lnTo>
                  <a:pt x="2913" y="70"/>
                </a:lnTo>
                <a:lnTo>
                  <a:pt x="2913" y="41"/>
                </a:lnTo>
                <a:close/>
                <a:moveTo>
                  <a:pt x="2942" y="0"/>
                </a:moveTo>
                <a:lnTo>
                  <a:pt x="2913" y="0"/>
                </a:lnTo>
                <a:lnTo>
                  <a:pt x="2913" y="29"/>
                </a:lnTo>
                <a:lnTo>
                  <a:pt x="2942" y="29"/>
                </a:lnTo>
                <a:lnTo>
                  <a:pt x="2942" y="0"/>
                </a:lnTo>
                <a:close/>
                <a:moveTo>
                  <a:pt x="2971" y="41"/>
                </a:moveTo>
                <a:lnTo>
                  <a:pt x="2942" y="41"/>
                </a:lnTo>
                <a:lnTo>
                  <a:pt x="2942" y="70"/>
                </a:lnTo>
                <a:lnTo>
                  <a:pt x="2971" y="70"/>
                </a:lnTo>
                <a:lnTo>
                  <a:pt x="2971" y="41"/>
                </a:lnTo>
                <a:close/>
                <a:moveTo>
                  <a:pt x="3022" y="157"/>
                </a:moveTo>
                <a:lnTo>
                  <a:pt x="3021" y="146"/>
                </a:lnTo>
                <a:lnTo>
                  <a:pt x="3019" y="134"/>
                </a:lnTo>
                <a:lnTo>
                  <a:pt x="3015" y="109"/>
                </a:lnTo>
                <a:lnTo>
                  <a:pt x="3011" y="92"/>
                </a:lnTo>
                <a:lnTo>
                  <a:pt x="2978" y="94"/>
                </a:lnTo>
                <a:lnTo>
                  <a:pt x="2982" y="137"/>
                </a:lnTo>
                <a:lnTo>
                  <a:pt x="2983" y="152"/>
                </a:lnTo>
                <a:lnTo>
                  <a:pt x="2983" y="164"/>
                </a:lnTo>
                <a:lnTo>
                  <a:pt x="2983" y="216"/>
                </a:lnTo>
                <a:lnTo>
                  <a:pt x="2957" y="216"/>
                </a:lnTo>
                <a:lnTo>
                  <a:pt x="2953" y="215"/>
                </a:lnTo>
                <a:lnTo>
                  <a:pt x="2945" y="212"/>
                </a:lnTo>
                <a:lnTo>
                  <a:pt x="2943" y="210"/>
                </a:lnTo>
                <a:lnTo>
                  <a:pt x="2946" y="202"/>
                </a:lnTo>
                <a:lnTo>
                  <a:pt x="2947" y="192"/>
                </a:lnTo>
                <a:lnTo>
                  <a:pt x="2947" y="107"/>
                </a:lnTo>
                <a:lnTo>
                  <a:pt x="2908" y="107"/>
                </a:lnTo>
                <a:lnTo>
                  <a:pt x="2908" y="193"/>
                </a:lnTo>
                <a:lnTo>
                  <a:pt x="2906" y="201"/>
                </a:lnTo>
                <a:lnTo>
                  <a:pt x="2900" y="213"/>
                </a:lnTo>
                <a:lnTo>
                  <a:pt x="2895" y="216"/>
                </a:lnTo>
                <a:lnTo>
                  <a:pt x="2869" y="216"/>
                </a:lnTo>
                <a:lnTo>
                  <a:pt x="2869" y="107"/>
                </a:lnTo>
                <a:lnTo>
                  <a:pt x="2830" y="107"/>
                </a:lnTo>
                <a:lnTo>
                  <a:pt x="2830" y="216"/>
                </a:lnTo>
                <a:lnTo>
                  <a:pt x="2752" y="216"/>
                </a:lnTo>
                <a:lnTo>
                  <a:pt x="2752" y="93"/>
                </a:lnTo>
                <a:lnTo>
                  <a:pt x="2714" y="93"/>
                </a:lnTo>
                <a:lnTo>
                  <a:pt x="2714" y="266"/>
                </a:lnTo>
                <a:lnTo>
                  <a:pt x="2712" y="275"/>
                </a:lnTo>
                <a:lnTo>
                  <a:pt x="2704" y="287"/>
                </a:lnTo>
                <a:lnTo>
                  <a:pt x="2699" y="290"/>
                </a:lnTo>
                <a:lnTo>
                  <a:pt x="2683" y="290"/>
                </a:lnTo>
                <a:lnTo>
                  <a:pt x="2671" y="289"/>
                </a:lnTo>
                <a:lnTo>
                  <a:pt x="2671" y="324"/>
                </a:lnTo>
                <a:lnTo>
                  <a:pt x="2693" y="325"/>
                </a:lnTo>
                <a:lnTo>
                  <a:pt x="2698" y="325"/>
                </a:lnTo>
                <a:lnTo>
                  <a:pt x="2711" y="324"/>
                </a:lnTo>
                <a:lnTo>
                  <a:pt x="2722" y="320"/>
                </a:lnTo>
                <a:lnTo>
                  <a:pt x="2731" y="314"/>
                </a:lnTo>
                <a:lnTo>
                  <a:pt x="2739" y="305"/>
                </a:lnTo>
                <a:lnTo>
                  <a:pt x="2744" y="294"/>
                </a:lnTo>
                <a:lnTo>
                  <a:pt x="2748" y="282"/>
                </a:lnTo>
                <a:lnTo>
                  <a:pt x="2751" y="268"/>
                </a:lnTo>
                <a:lnTo>
                  <a:pt x="2752" y="251"/>
                </a:lnTo>
                <a:lnTo>
                  <a:pt x="2909" y="251"/>
                </a:lnTo>
                <a:lnTo>
                  <a:pt x="2919" y="248"/>
                </a:lnTo>
                <a:lnTo>
                  <a:pt x="2927" y="241"/>
                </a:lnTo>
                <a:lnTo>
                  <a:pt x="2936" y="248"/>
                </a:lnTo>
                <a:lnTo>
                  <a:pt x="2947" y="251"/>
                </a:lnTo>
                <a:lnTo>
                  <a:pt x="3022" y="251"/>
                </a:lnTo>
                <a:lnTo>
                  <a:pt x="3022" y="15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ar-SA"/>
          </a:p>
        </xdr:txBody>
      </xdr:sp>
    </xdr:grpSp>
    <xdr:clientData/>
  </xdr:twoCellAnchor>
  <xdr:twoCellAnchor editAs="oneCell">
    <xdr:from>
      <xdr:col>5</xdr:col>
      <xdr:colOff>99060</xdr:colOff>
      <xdr:row>37</xdr:row>
      <xdr:rowOff>175260</xdr:rowOff>
    </xdr:from>
    <xdr:to>
      <xdr:col>5</xdr:col>
      <xdr:colOff>1133475</xdr:colOff>
      <xdr:row>41</xdr:row>
      <xdr:rowOff>278765</xdr:rowOff>
    </xdr:to>
    <xdr:pic>
      <xdr:nvPicPr>
        <xdr:cNvPr id="24" name="image6.png">
          <a:extLst>
            <a:ext uri="{FF2B5EF4-FFF2-40B4-BE49-F238E27FC236}">
              <a16:creationId xmlns:a16="http://schemas.microsoft.com/office/drawing/2014/main" id="{27B5E7EF-3AFD-4220-8A78-22438CF21F02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983195585" y="10050780"/>
          <a:ext cx="1034415" cy="126174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4</xdr:col>
      <xdr:colOff>784225</xdr:colOff>
      <xdr:row>41</xdr:row>
      <xdr:rowOff>198120</xdr:rowOff>
    </xdr:to>
    <xdr:pic>
      <xdr:nvPicPr>
        <xdr:cNvPr id="25" name="صورة 24">
          <a:extLst>
            <a:ext uri="{FF2B5EF4-FFF2-40B4-BE49-F238E27FC236}">
              <a16:creationId xmlns:a16="http://schemas.microsoft.com/office/drawing/2014/main" id="{5E739958-5E5E-4369-A204-4CCDD52636FB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463295" y="8983980"/>
          <a:ext cx="1660525" cy="2247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24765</xdr:rowOff>
    </xdr:from>
    <xdr:to>
      <xdr:col>4</xdr:col>
      <xdr:colOff>1752600</xdr:colOff>
      <xdr:row>7</xdr:row>
      <xdr:rowOff>15240</xdr:rowOff>
    </xdr:to>
    <xdr:pic>
      <xdr:nvPicPr>
        <xdr:cNvPr id="10" name="صورة 9">
          <a:extLst>
            <a:ext uri="{FF2B5EF4-FFF2-40B4-BE49-F238E27FC236}">
              <a16:creationId xmlns:a16="http://schemas.microsoft.com/office/drawing/2014/main" id="{DC0B3EA2-A456-4E06-BD8A-E3978325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4169040" y="24765"/>
          <a:ext cx="8675370" cy="1804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</xdr:row>
      <xdr:rowOff>9525</xdr:rowOff>
    </xdr:from>
    <xdr:to>
      <xdr:col>6</xdr:col>
      <xdr:colOff>1905</xdr:colOff>
      <xdr:row>41</xdr:row>
      <xdr:rowOff>57150</xdr:rowOff>
    </xdr:to>
    <xdr:grpSp>
      <xdr:nvGrpSpPr>
        <xdr:cNvPr id="11" name="Group 8">
          <a:extLst>
            <a:ext uri="{FF2B5EF4-FFF2-40B4-BE49-F238E27FC236}">
              <a16:creationId xmlns:a16="http://schemas.microsoft.com/office/drawing/2014/main" id="{BD549DBE-835D-4445-822B-22C04C43990D}"/>
            </a:ext>
          </a:extLst>
        </xdr:cNvPr>
        <xdr:cNvGrpSpPr>
          <a:grpSpLocks/>
        </xdr:cNvGrpSpPr>
      </xdr:nvGrpSpPr>
      <xdr:grpSpPr bwMode="auto">
        <a:xfrm>
          <a:off x="9984026895" y="11782425"/>
          <a:ext cx="9384030" cy="523875"/>
          <a:chOff x="-935" y="16324"/>
          <a:chExt cx="11682" cy="513"/>
        </a:xfrm>
      </xdr:grpSpPr>
      <xdr:pic>
        <xdr:nvPicPr>
          <xdr:cNvPr id="12" name="Picture 12">
            <a:extLst>
              <a:ext uri="{FF2B5EF4-FFF2-40B4-BE49-F238E27FC236}">
                <a16:creationId xmlns:a16="http://schemas.microsoft.com/office/drawing/2014/main" id="{F5D0DBFC-BAF0-1778-F6FB-F13A655AA6D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935" y="16327"/>
            <a:ext cx="9833" cy="5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3" name="Rectangle 11">
            <a:extLst>
              <a:ext uri="{FF2B5EF4-FFF2-40B4-BE49-F238E27FC236}">
                <a16:creationId xmlns:a16="http://schemas.microsoft.com/office/drawing/2014/main" id="{5E246367-A44E-B1D1-AB36-F1621B780F28}"/>
              </a:ext>
            </a:extLst>
          </xdr:cNvPr>
          <xdr:cNvSpPr>
            <a:spLocks noChangeArrowheads="1"/>
          </xdr:cNvSpPr>
        </xdr:nvSpPr>
        <xdr:spPr bwMode="auto">
          <a:xfrm>
            <a:off x="7297" y="16324"/>
            <a:ext cx="3450" cy="510"/>
          </a:xfrm>
          <a:prstGeom prst="rect">
            <a:avLst/>
          </a:prstGeom>
          <a:solidFill>
            <a:srgbClr val="02030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ar-SA"/>
          </a:p>
        </xdr:txBody>
      </xdr:sp>
      <xdr:pic>
        <xdr:nvPicPr>
          <xdr:cNvPr id="14" name="Picture 10">
            <a:extLst>
              <a:ext uri="{FF2B5EF4-FFF2-40B4-BE49-F238E27FC236}">
                <a16:creationId xmlns:a16="http://schemas.microsoft.com/office/drawing/2014/main" id="{8C36D6A5-4C88-44A7-609D-608D7B5A55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935" y="16327"/>
            <a:ext cx="8210" cy="50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5" name="AutoShape 9">
            <a:extLst>
              <a:ext uri="{FF2B5EF4-FFF2-40B4-BE49-F238E27FC236}">
                <a16:creationId xmlns:a16="http://schemas.microsoft.com/office/drawing/2014/main" id="{3C54C6B9-1EC1-4E4F-3C51-43BCFDF8DEFE}"/>
              </a:ext>
            </a:extLst>
          </xdr:cNvPr>
          <xdr:cNvSpPr>
            <a:spLocks/>
          </xdr:cNvSpPr>
        </xdr:nvSpPr>
        <xdr:spPr bwMode="auto">
          <a:xfrm>
            <a:off x="7584" y="16400"/>
            <a:ext cx="3022" cy="326"/>
          </a:xfrm>
          <a:custGeom>
            <a:avLst/>
            <a:gdLst>
              <a:gd name="T0" fmla="*/ 84 w 3022"/>
              <a:gd name="T1" fmla="*/ 16490 h 326"/>
              <a:gd name="T2" fmla="*/ 113 w 3022"/>
              <a:gd name="T3" fmla="*/ 16636 h 326"/>
              <a:gd name="T4" fmla="*/ 38 w 3022"/>
              <a:gd name="T5" fmla="*/ 16602 h 326"/>
              <a:gd name="T6" fmla="*/ 90 w 3022"/>
              <a:gd name="T7" fmla="*/ 16545 h 326"/>
              <a:gd name="T8" fmla="*/ 52 w 3022"/>
              <a:gd name="T9" fmla="*/ 16511 h 326"/>
              <a:gd name="T10" fmla="*/ 0 w 3022"/>
              <a:gd name="T11" fmla="*/ 16576 h 326"/>
              <a:gd name="T12" fmla="*/ 33 w 3022"/>
              <a:gd name="T13" fmla="*/ 16664 h 326"/>
              <a:gd name="T14" fmla="*/ 151 w 3022"/>
              <a:gd name="T15" fmla="*/ 16514 h 326"/>
              <a:gd name="T16" fmla="*/ 187 w 3022"/>
              <a:gd name="T17" fmla="*/ 16710 h 326"/>
              <a:gd name="T18" fmla="*/ 238 w 3022"/>
              <a:gd name="T19" fmla="*/ 16725 h 326"/>
              <a:gd name="T20" fmla="*/ 400 w 3022"/>
              <a:gd name="T21" fmla="*/ 16719 h 326"/>
              <a:gd name="T22" fmla="*/ 619 w 3022"/>
              <a:gd name="T23" fmla="*/ 16461 h 326"/>
              <a:gd name="T24" fmla="*/ 714 w 3022"/>
              <a:gd name="T25" fmla="*/ 16636 h 326"/>
              <a:gd name="T26" fmla="*/ 499 w 3022"/>
              <a:gd name="T27" fmla="*/ 16636 h 326"/>
              <a:gd name="T28" fmla="*/ 456 w 3022"/>
              <a:gd name="T29" fmla="*/ 16510 h 326"/>
              <a:gd name="T30" fmla="*/ 415 w 3022"/>
              <a:gd name="T31" fmla="*/ 16545 h 326"/>
              <a:gd name="T32" fmla="*/ 287 w 3022"/>
              <a:gd name="T33" fmla="*/ 16671 h 326"/>
              <a:gd name="T34" fmla="*/ 941 w 3022"/>
              <a:gd name="T35" fmla="*/ 16707 h 326"/>
              <a:gd name="T36" fmla="*/ 959 w 3022"/>
              <a:gd name="T37" fmla="*/ 16740 h 326"/>
              <a:gd name="T38" fmla="*/ 1088 w 3022"/>
              <a:gd name="T39" fmla="*/ 16691 h 326"/>
              <a:gd name="T40" fmla="*/ 1126 w 3022"/>
              <a:gd name="T41" fmla="*/ 16719 h 326"/>
              <a:gd name="T42" fmla="*/ 1212 w 3022"/>
              <a:gd name="T43" fmla="*/ 16461 h 326"/>
              <a:gd name="T44" fmla="*/ 1422 w 3022"/>
              <a:gd name="T45" fmla="*/ 16449 h 326"/>
              <a:gd name="T46" fmla="*/ 1428 w 3022"/>
              <a:gd name="T47" fmla="*/ 16510 h 326"/>
              <a:gd name="T48" fmla="*/ 1387 w 3022"/>
              <a:gd name="T49" fmla="*/ 16545 h 326"/>
              <a:gd name="T50" fmla="*/ 1243 w 3022"/>
              <a:gd name="T51" fmla="*/ 16636 h 326"/>
              <a:gd name="T52" fmla="*/ 1025 w 3022"/>
              <a:gd name="T53" fmla="*/ 16671 h 326"/>
              <a:gd name="T54" fmla="*/ 1567 w 3022"/>
              <a:gd name="T55" fmla="*/ 16490 h 326"/>
              <a:gd name="T56" fmla="*/ 1647 w 3022"/>
              <a:gd name="T57" fmla="*/ 16450 h 326"/>
              <a:gd name="T58" fmla="*/ 1867 w 3022"/>
              <a:gd name="T59" fmla="*/ 16490 h 326"/>
              <a:gd name="T60" fmla="*/ 2108 w 3022"/>
              <a:gd name="T61" fmla="*/ 16541 h 326"/>
              <a:gd name="T62" fmla="*/ 2014 w 3022"/>
              <a:gd name="T63" fmla="*/ 16625 h 326"/>
              <a:gd name="T64" fmla="*/ 2016 w 3022"/>
              <a:gd name="T65" fmla="*/ 16547 h 326"/>
              <a:gd name="T66" fmla="*/ 2080 w 3022"/>
              <a:gd name="T67" fmla="*/ 16516 h 326"/>
              <a:gd name="T68" fmla="*/ 1984 w 3022"/>
              <a:gd name="T69" fmla="*/ 16520 h 326"/>
              <a:gd name="T70" fmla="*/ 1976 w 3022"/>
              <a:gd name="T71" fmla="*/ 16625 h 326"/>
              <a:gd name="T72" fmla="*/ 1859 w 3022"/>
              <a:gd name="T73" fmla="*/ 16695 h 326"/>
              <a:gd name="T74" fmla="*/ 1835 w 3022"/>
              <a:gd name="T75" fmla="*/ 16745 h 326"/>
              <a:gd name="T76" fmla="*/ 1893 w 3022"/>
              <a:gd name="T77" fmla="*/ 16710 h 326"/>
              <a:gd name="T78" fmla="*/ 2118 w 3022"/>
              <a:gd name="T79" fmla="*/ 16636 h 326"/>
              <a:gd name="T80" fmla="*/ 2165 w 3022"/>
              <a:gd name="T81" fmla="*/ 16710 h 326"/>
              <a:gd name="T82" fmla="*/ 2197 w 3022"/>
              <a:gd name="T83" fmla="*/ 16734 h 326"/>
              <a:gd name="T84" fmla="*/ 2347 w 3022"/>
              <a:gd name="T85" fmla="*/ 16461 h 326"/>
              <a:gd name="T86" fmla="*/ 2415 w 3022"/>
              <a:gd name="T87" fmla="*/ 16461 h 326"/>
              <a:gd name="T88" fmla="*/ 2608 w 3022"/>
              <a:gd name="T89" fmla="*/ 16529 h 326"/>
              <a:gd name="T90" fmla="*/ 2574 w 3022"/>
              <a:gd name="T91" fmla="*/ 16461 h 326"/>
              <a:gd name="T92" fmla="*/ 2590 w 3022"/>
              <a:gd name="T93" fmla="*/ 16563 h 326"/>
              <a:gd name="T94" fmla="*/ 2457 w 3022"/>
              <a:gd name="T95" fmla="*/ 16514 h 326"/>
              <a:gd name="T96" fmla="*/ 2355 w 3022"/>
              <a:gd name="T97" fmla="*/ 16629 h 326"/>
              <a:gd name="T98" fmla="*/ 2354 w 3022"/>
              <a:gd name="T99" fmla="*/ 16552 h 326"/>
              <a:gd name="T100" fmla="*/ 2391 w 3022"/>
              <a:gd name="T101" fmla="*/ 16509 h 326"/>
              <a:gd name="T102" fmla="*/ 2313 w 3022"/>
              <a:gd name="T103" fmla="*/ 16544 h 326"/>
              <a:gd name="T104" fmla="*/ 2313 w 3022"/>
              <a:gd name="T105" fmla="*/ 16638 h 326"/>
              <a:gd name="T106" fmla="*/ 2651 w 3022"/>
              <a:gd name="T107" fmla="*/ 16671 h 326"/>
              <a:gd name="T108" fmla="*/ 2942 w 3022"/>
              <a:gd name="T109" fmla="*/ 16420 h 326"/>
              <a:gd name="T110" fmla="*/ 2971 w 3022"/>
              <a:gd name="T111" fmla="*/ 16490 h 326"/>
              <a:gd name="T112" fmla="*/ 2982 w 3022"/>
              <a:gd name="T113" fmla="*/ 16557 h 326"/>
              <a:gd name="T114" fmla="*/ 2946 w 3022"/>
              <a:gd name="T115" fmla="*/ 16622 h 326"/>
              <a:gd name="T116" fmla="*/ 2869 w 3022"/>
              <a:gd name="T117" fmla="*/ 16636 h 326"/>
              <a:gd name="T118" fmla="*/ 2712 w 3022"/>
              <a:gd name="T119" fmla="*/ 16695 h 326"/>
              <a:gd name="T120" fmla="*/ 2711 w 3022"/>
              <a:gd name="T121" fmla="*/ 16744 h 326"/>
              <a:gd name="T122" fmla="*/ 2909 w 3022"/>
              <a:gd name="T123" fmla="*/ 16671 h 32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3022" h="326">
                <a:moveTo>
                  <a:pt x="75" y="41"/>
                </a:moveTo>
                <a:lnTo>
                  <a:pt x="45" y="41"/>
                </a:lnTo>
                <a:lnTo>
                  <a:pt x="45" y="70"/>
                </a:lnTo>
                <a:lnTo>
                  <a:pt x="75" y="70"/>
                </a:lnTo>
                <a:lnTo>
                  <a:pt x="75" y="41"/>
                </a:lnTo>
                <a:close/>
                <a:moveTo>
                  <a:pt x="113" y="41"/>
                </a:moveTo>
                <a:lnTo>
                  <a:pt x="84" y="41"/>
                </a:lnTo>
                <a:lnTo>
                  <a:pt x="84" y="70"/>
                </a:lnTo>
                <a:lnTo>
                  <a:pt x="113" y="70"/>
                </a:lnTo>
                <a:lnTo>
                  <a:pt x="113" y="41"/>
                </a:lnTo>
                <a:close/>
                <a:moveTo>
                  <a:pt x="151" y="94"/>
                </a:moveTo>
                <a:lnTo>
                  <a:pt x="140" y="92"/>
                </a:lnTo>
                <a:lnTo>
                  <a:pt x="128" y="91"/>
                </a:lnTo>
                <a:lnTo>
                  <a:pt x="113" y="91"/>
                </a:lnTo>
                <a:lnTo>
                  <a:pt x="113" y="126"/>
                </a:lnTo>
                <a:lnTo>
                  <a:pt x="113" y="216"/>
                </a:lnTo>
                <a:lnTo>
                  <a:pt x="70" y="216"/>
                </a:lnTo>
                <a:lnTo>
                  <a:pt x="61" y="215"/>
                </a:lnTo>
                <a:lnTo>
                  <a:pt x="55" y="212"/>
                </a:lnTo>
                <a:lnTo>
                  <a:pt x="49" y="209"/>
                </a:lnTo>
                <a:lnTo>
                  <a:pt x="45" y="205"/>
                </a:lnTo>
                <a:lnTo>
                  <a:pt x="42" y="199"/>
                </a:lnTo>
                <a:lnTo>
                  <a:pt x="40" y="192"/>
                </a:lnTo>
                <a:lnTo>
                  <a:pt x="38" y="182"/>
                </a:lnTo>
                <a:lnTo>
                  <a:pt x="38" y="159"/>
                </a:lnTo>
                <a:lnTo>
                  <a:pt x="40" y="150"/>
                </a:lnTo>
                <a:lnTo>
                  <a:pt x="42" y="143"/>
                </a:lnTo>
                <a:lnTo>
                  <a:pt x="45" y="137"/>
                </a:lnTo>
                <a:lnTo>
                  <a:pt x="49" y="132"/>
                </a:lnTo>
                <a:lnTo>
                  <a:pt x="61" y="127"/>
                </a:lnTo>
                <a:lnTo>
                  <a:pt x="69" y="125"/>
                </a:lnTo>
                <a:lnTo>
                  <a:pt x="90" y="125"/>
                </a:lnTo>
                <a:lnTo>
                  <a:pt x="101" y="126"/>
                </a:lnTo>
                <a:lnTo>
                  <a:pt x="113" y="126"/>
                </a:lnTo>
                <a:lnTo>
                  <a:pt x="113" y="91"/>
                </a:lnTo>
                <a:lnTo>
                  <a:pt x="98" y="90"/>
                </a:lnTo>
                <a:lnTo>
                  <a:pt x="85" y="89"/>
                </a:lnTo>
                <a:lnTo>
                  <a:pt x="77" y="89"/>
                </a:lnTo>
                <a:lnTo>
                  <a:pt x="63" y="90"/>
                </a:lnTo>
                <a:lnTo>
                  <a:pt x="52" y="91"/>
                </a:lnTo>
                <a:lnTo>
                  <a:pt x="41" y="94"/>
                </a:lnTo>
                <a:lnTo>
                  <a:pt x="32" y="97"/>
                </a:lnTo>
                <a:lnTo>
                  <a:pt x="21" y="103"/>
                </a:lnTo>
                <a:lnTo>
                  <a:pt x="12" y="111"/>
                </a:lnTo>
                <a:lnTo>
                  <a:pt x="7" y="124"/>
                </a:lnTo>
                <a:lnTo>
                  <a:pt x="4" y="133"/>
                </a:lnTo>
                <a:lnTo>
                  <a:pt x="2" y="144"/>
                </a:lnTo>
                <a:lnTo>
                  <a:pt x="0" y="156"/>
                </a:lnTo>
                <a:lnTo>
                  <a:pt x="0" y="170"/>
                </a:lnTo>
                <a:lnTo>
                  <a:pt x="0" y="184"/>
                </a:lnTo>
                <a:lnTo>
                  <a:pt x="2" y="197"/>
                </a:lnTo>
                <a:lnTo>
                  <a:pt x="4" y="208"/>
                </a:lnTo>
                <a:lnTo>
                  <a:pt x="7" y="218"/>
                </a:lnTo>
                <a:lnTo>
                  <a:pt x="13" y="230"/>
                </a:lnTo>
                <a:lnTo>
                  <a:pt x="21" y="239"/>
                </a:lnTo>
                <a:lnTo>
                  <a:pt x="33" y="244"/>
                </a:lnTo>
                <a:lnTo>
                  <a:pt x="42" y="247"/>
                </a:lnTo>
                <a:lnTo>
                  <a:pt x="53" y="250"/>
                </a:lnTo>
                <a:lnTo>
                  <a:pt x="65" y="251"/>
                </a:lnTo>
                <a:lnTo>
                  <a:pt x="78" y="251"/>
                </a:lnTo>
                <a:lnTo>
                  <a:pt x="151" y="251"/>
                </a:lnTo>
                <a:lnTo>
                  <a:pt x="151" y="216"/>
                </a:lnTo>
                <a:lnTo>
                  <a:pt x="151" y="125"/>
                </a:lnTo>
                <a:lnTo>
                  <a:pt x="151" y="94"/>
                </a:lnTo>
                <a:close/>
                <a:moveTo>
                  <a:pt x="251" y="93"/>
                </a:moveTo>
                <a:lnTo>
                  <a:pt x="213" y="93"/>
                </a:lnTo>
                <a:lnTo>
                  <a:pt x="213" y="254"/>
                </a:lnTo>
                <a:lnTo>
                  <a:pt x="213" y="266"/>
                </a:lnTo>
                <a:lnTo>
                  <a:pt x="211" y="275"/>
                </a:lnTo>
                <a:lnTo>
                  <a:pt x="203" y="287"/>
                </a:lnTo>
                <a:lnTo>
                  <a:pt x="198" y="290"/>
                </a:lnTo>
                <a:lnTo>
                  <a:pt x="187" y="290"/>
                </a:lnTo>
                <a:lnTo>
                  <a:pt x="170" y="289"/>
                </a:lnTo>
                <a:lnTo>
                  <a:pt x="170" y="324"/>
                </a:lnTo>
                <a:lnTo>
                  <a:pt x="192" y="325"/>
                </a:lnTo>
                <a:lnTo>
                  <a:pt x="197" y="325"/>
                </a:lnTo>
                <a:lnTo>
                  <a:pt x="210" y="324"/>
                </a:lnTo>
                <a:lnTo>
                  <a:pt x="221" y="320"/>
                </a:lnTo>
                <a:lnTo>
                  <a:pt x="230" y="314"/>
                </a:lnTo>
                <a:lnTo>
                  <a:pt x="238" y="305"/>
                </a:lnTo>
                <a:lnTo>
                  <a:pt x="244" y="294"/>
                </a:lnTo>
                <a:lnTo>
                  <a:pt x="248" y="281"/>
                </a:lnTo>
                <a:lnTo>
                  <a:pt x="250" y="265"/>
                </a:lnTo>
                <a:lnTo>
                  <a:pt x="251" y="248"/>
                </a:lnTo>
                <a:lnTo>
                  <a:pt x="251" y="93"/>
                </a:lnTo>
                <a:close/>
                <a:moveTo>
                  <a:pt x="430" y="271"/>
                </a:moveTo>
                <a:lnTo>
                  <a:pt x="400" y="271"/>
                </a:lnTo>
                <a:lnTo>
                  <a:pt x="400" y="299"/>
                </a:lnTo>
                <a:lnTo>
                  <a:pt x="430" y="299"/>
                </a:lnTo>
                <a:lnTo>
                  <a:pt x="430" y="271"/>
                </a:lnTo>
                <a:close/>
                <a:moveTo>
                  <a:pt x="581" y="41"/>
                </a:moveTo>
                <a:lnTo>
                  <a:pt x="552" y="41"/>
                </a:lnTo>
                <a:lnTo>
                  <a:pt x="552" y="70"/>
                </a:lnTo>
                <a:lnTo>
                  <a:pt x="581" y="70"/>
                </a:lnTo>
                <a:lnTo>
                  <a:pt x="581" y="41"/>
                </a:lnTo>
                <a:close/>
                <a:moveTo>
                  <a:pt x="619" y="41"/>
                </a:moveTo>
                <a:lnTo>
                  <a:pt x="590" y="41"/>
                </a:lnTo>
                <a:lnTo>
                  <a:pt x="590" y="70"/>
                </a:lnTo>
                <a:lnTo>
                  <a:pt x="619" y="70"/>
                </a:lnTo>
                <a:lnTo>
                  <a:pt x="619" y="41"/>
                </a:lnTo>
                <a:close/>
                <a:moveTo>
                  <a:pt x="815" y="29"/>
                </a:moveTo>
                <a:lnTo>
                  <a:pt x="776" y="29"/>
                </a:lnTo>
                <a:lnTo>
                  <a:pt x="776" y="216"/>
                </a:lnTo>
                <a:lnTo>
                  <a:pt x="714" y="216"/>
                </a:lnTo>
                <a:lnTo>
                  <a:pt x="714" y="29"/>
                </a:lnTo>
                <a:lnTo>
                  <a:pt x="676" y="29"/>
                </a:lnTo>
                <a:lnTo>
                  <a:pt x="676" y="216"/>
                </a:lnTo>
                <a:lnTo>
                  <a:pt x="605" y="216"/>
                </a:lnTo>
                <a:lnTo>
                  <a:pt x="605" y="92"/>
                </a:lnTo>
                <a:lnTo>
                  <a:pt x="566" y="92"/>
                </a:lnTo>
                <a:lnTo>
                  <a:pt x="566" y="216"/>
                </a:lnTo>
                <a:lnTo>
                  <a:pt x="499" y="216"/>
                </a:lnTo>
                <a:lnTo>
                  <a:pt x="499" y="145"/>
                </a:lnTo>
                <a:lnTo>
                  <a:pt x="498" y="131"/>
                </a:lnTo>
                <a:lnTo>
                  <a:pt x="495" y="119"/>
                </a:lnTo>
                <a:lnTo>
                  <a:pt x="490" y="110"/>
                </a:lnTo>
                <a:lnTo>
                  <a:pt x="484" y="102"/>
                </a:lnTo>
                <a:lnTo>
                  <a:pt x="476" y="97"/>
                </a:lnTo>
                <a:lnTo>
                  <a:pt x="466" y="93"/>
                </a:lnTo>
                <a:lnTo>
                  <a:pt x="456" y="90"/>
                </a:lnTo>
                <a:lnTo>
                  <a:pt x="444" y="90"/>
                </a:lnTo>
                <a:lnTo>
                  <a:pt x="435" y="90"/>
                </a:lnTo>
                <a:lnTo>
                  <a:pt x="423" y="90"/>
                </a:lnTo>
                <a:lnTo>
                  <a:pt x="396" y="94"/>
                </a:lnTo>
                <a:lnTo>
                  <a:pt x="384" y="97"/>
                </a:lnTo>
                <a:lnTo>
                  <a:pt x="369" y="100"/>
                </a:lnTo>
                <a:lnTo>
                  <a:pt x="370" y="129"/>
                </a:lnTo>
                <a:lnTo>
                  <a:pt x="415" y="125"/>
                </a:lnTo>
                <a:lnTo>
                  <a:pt x="437" y="124"/>
                </a:lnTo>
                <a:lnTo>
                  <a:pt x="454" y="124"/>
                </a:lnTo>
                <a:lnTo>
                  <a:pt x="461" y="131"/>
                </a:lnTo>
                <a:lnTo>
                  <a:pt x="461" y="216"/>
                </a:lnTo>
                <a:lnTo>
                  <a:pt x="325" y="216"/>
                </a:lnTo>
                <a:lnTo>
                  <a:pt x="325" y="29"/>
                </a:lnTo>
                <a:lnTo>
                  <a:pt x="287" y="29"/>
                </a:lnTo>
                <a:lnTo>
                  <a:pt x="287" y="251"/>
                </a:lnTo>
                <a:lnTo>
                  <a:pt x="815" y="251"/>
                </a:lnTo>
                <a:lnTo>
                  <a:pt x="815" y="29"/>
                </a:lnTo>
                <a:close/>
                <a:moveTo>
                  <a:pt x="989" y="93"/>
                </a:moveTo>
                <a:lnTo>
                  <a:pt x="951" y="93"/>
                </a:lnTo>
                <a:lnTo>
                  <a:pt x="951" y="254"/>
                </a:lnTo>
                <a:lnTo>
                  <a:pt x="951" y="266"/>
                </a:lnTo>
                <a:lnTo>
                  <a:pt x="949" y="275"/>
                </a:lnTo>
                <a:lnTo>
                  <a:pt x="941" y="287"/>
                </a:lnTo>
                <a:lnTo>
                  <a:pt x="936" y="290"/>
                </a:lnTo>
                <a:lnTo>
                  <a:pt x="925" y="290"/>
                </a:lnTo>
                <a:lnTo>
                  <a:pt x="908" y="289"/>
                </a:lnTo>
                <a:lnTo>
                  <a:pt x="908" y="324"/>
                </a:lnTo>
                <a:lnTo>
                  <a:pt x="930" y="325"/>
                </a:lnTo>
                <a:lnTo>
                  <a:pt x="935" y="325"/>
                </a:lnTo>
                <a:lnTo>
                  <a:pt x="948" y="324"/>
                </a:lnTo>
                <a:lnTo>
                  <a:pt x="959" y="320"/>
                </a:lnTo>
                <a:lnTo>
                  <a:pt x="968" y="314"/>
                </a:lnTo>
                <a:lnTo>
                  <a:pt x="976" y="305"/>
                </a:lnTo>
                <a:lnTo>
                  <a:pt x="982" y="294"/>
                </a:lnTo>
                <a:lnTo>
                  <a:pt x="986" y="281"/>
                </a:lnTo>
                <a:lnTo>
                  <a:pt x="988" y="265"/>
                </a:lnTo>
                <a:lnTo>
                  <a:pt x="989" y="248"/>
                </a:lnTo>
                <a:lnTo>
                  <a:pt x="989" y="93"/>
                </a:lnTo>
                <a:close/>
                <a:moveTo>
                  <a:pt x="1088" y="271"/>
                </a:moveTo>
                <a:lnTo>
                  <a:pt x="1059" y="271"/>
                </a:lnTo>
                <a:lnTo>
                  <a:pt x="1059" y="299"/>
                </a:lnTo>
                <a:lnTo>
                  <a:pt x="1088" y="299"/>
                </a:lnTo>
                <a:lnTo>
                  <a:pt x="1088" y="271"/>
                </a:lnTo>
                <a:close/>
                <a:moveTo>
                  <a:pt x="1126" y="271"/>
                </a:moveTo>
                <a:lnTo>
                  <a:pt x="1097" y="271"/>
                </a:lnTo>
                <a:lnTo>
                  <a:pt x="1097" y="299"/>
                </a:lnTo>
                <a:lnTo>
                  <a:pt x="1126" y="299"/>
                </a:lnTo>
                <a:lnTo>
                  <a:pt x="1126" y="271"/>
                </a:lnTo>
                <a:close/>
                <a:moveTo>
                  <a:pt x="1203" y="41"/>
                </a:moveTo>
                <a:lnTo>
                  <a:pt x="1173" y="41"/>
                </a:lnTo>
                <a:lnTo>
                  <a:pt x="1173" y="70"/>
                </a:lnTo>
                <a:lnTo>
                  <a:pt x="1203" y="70"/>
                </a:lnTo>
                <a:lnTo>
                  <a:pt x="1203" y="41"/>
                </a:lnTo>
                <a:close/>
                <a:moveTo>
                  <a:pt x="1241" y="41"/>
                </a:moveTo>
                <a:lnTo>
                  <a:pt x="1212" y="41"/>
                </a:lnTo>
                <a:lnTo>
                  <a:pt x="1212" y="70"/>
                </a:lnTo>
                <a:lnTo>
                  <a:pt x="1241" y="70"/>
                </a:lnTo>
                <a:lnTo>
                  <a:pt x="1241" y="41"/>
                </a:lnTo>
                <a:close/>
                <a:moveTo>
                  <a:pt x="1422" y="29"/>
                </a:moveTo>
                <a:lnTo>
                  <a:pt x="1393" y="29"/>
                </a:lnTo>
                <a:lnTo>
                  <a:pt x="1393" y="58"/>
                </a:lnTo>
                <a:lnTo>
                  <a:pt x="1422" y="58"/>
                </a:lnTo>
                <a:lnTo>
                  <a:pt x="1422" y="29"/>
                </a:lnTo>
                <a:close/>
                <a:moveTo>
                  <a:pt x="1471" y="145"/>
                </a:moveTo>
                <a:lnTo>
                  <a:pt x="1470" y="131"/>
                </a:lnTo>
                <a:lnTo>
                  <a:pt x="1467" y="119"/>
                </a:lnTo>
                <a:lnTo>
                  <a:pt x="1463" y="110"/>
                </a:lnTo>
                <a:lnTo>
                  <a:pt x="1456" y="102"/>
                </a:lnTo>
                <a:lnTo>
                  <a:pt x="1448" y="97"/>
                </a:lnTo>
                <a:lnTo>
                  <a:pt x="1439" y="93"/>
                </a:lnTo>
                <a:lnTo>
                  <a:pt x="1428" y="90"/>
                </a:lnTo>
                <a:lnTo>
                  <a:pt x="1416" y="90"/>
                </a:lnTo>
                <a:lnTo>
                  <a:pt x="1407" y="90"/>
                </a:lnTo>
                <a:lnTo>
                  <a:pt x="1395" y="90"/>
                </a:lnTo>
                <a:lnTo>
                  <a:pt x="1368" y="94"/>
                </a:lnTo>
                <a:lnTo>
                  <a:pt x="1356" y="97"/>
                </a:lnTo>
                <a:lnTo>
                  <a:pt x="1341" y="100"/>
                </a:lnTo>
                <a:lnTo>
                  <a:pt x="1343" y="129"/>
                </a:lnTo>
                <a:lnTo>
                  <a:pt x="1387" y="125"/>
                </a:lnTo>
                <a:lnTo>
                  <a:pt x="1409" y="124"/>
                </a:lnTo>
                <a:lnTo>
                  <a:pt x="1426" y="124"/>
                </a:lnTo>
                <a:lnTo>
                  <a:pt x="1433" y="131"/>
                </a:lnTo>
                <a:lnTo>
                  <a:pt x="1433" y="216"/>
                </a:lnTo>
                <a:lnTo>
                  <a:pt x="1281" y="216"/>
                </a:lnTo>
                <a:lnTo>
                  <a:pt x="1281" y="92"/>
                </a:lnTo>
                <a:lnTo>
                  <a:pt x="1243" y="92"/>
                </a:lnTo>
                <a:lnTo>
                  <a:pt x="1243" y="216"/>
                </a:lnTo>
                <a:lnTo>
                  <a:pt x="1164" y="216"/>
                </a:lnTo>
                <a:lnTo>
                  <a:pt x="1164" y="92"/>
                </a:lnTo>
                <a:lnTo>
                  <a:pt x="1126" y="92"/>
                </a:lnTo>
                <a:lnTo>
                  <a:pt x="1126" y="216"/>
                </a:lnTo>
                <a:lnTo>
                  <a:pt x="1064" y="216"/>
                </a:lnTo>
                <a:lnTo>
                  <a:pt x="1064" y="29"/>
                </a:lnTo>
                <a:lnTo>
                  <a:pt x="1025" y="29"/>
                </a:lnTo>
                <a:lnTo>
                  <a:pt x="1025" y="251"/>
                </a:lnTo>
                <a:lnTo>
                  <a:pt x="1471" y="251"/>
                </a:lnTo>
                <a:lnTo>
                  <a:pt x="1471" y="145"/>
                </a:lnTo>
                <a:close/>
                <a:moveTo>
                  <a:pt x="1647" y="30"/>
                </a:moveTo>
                <a:lnTo>
                  <a:pt x="1609" y="30"/>
                </a:lnTo>
                <a:lnTo>
                  <a:pt x="1609" y="70"/>
                </a:lnTo>
                <a:lnTo>
                  <a:pt x="1609" y="216"/>
                </a:lnTo>
                <a:lnTo>
                  <a:pt x="1567" y="216"/>
                </a:lnTo>
                <a:lnTo>
                  <a:pt x="1567" y="70"/>
                </a:lnTo>
                <a:lnTo>
                  <a:pt x="1529" y="70"/>
                </a:lnTo>
                <a:lnTo>
                  <a:pt x="1529" y="216"/>
                </a:lnTo>
                <a:lnTo>
                  <a:pt x="1491" y="216"/>
                </a:lnTo>
                <a:lnTo>
                  <a:pt x="1491" y="252"/>
                </a:lnTo>
                <a:lnTo>
                  <a:pt x="1647" y="252"/>
                </a:lnTo>
                <a:lnTo>
                  <a:pt x="1647" y="216"/>
                </a:lnTo>
                <a:lnTo>
                  <a:pt x="1647" y="70"/>
                </a:lnTo>
                <a:lnTo>
                  <a:pt x="1647" y="30"/>
                </a:lnTo>
                <a:close/>
                <a:moveTo>
                  <a:pt x="1724" y="29"/>
                </a:moveTo>
                <a:lnTo>
                  <a:pt x="1686" y="29"/>
                </a:lnTo>
                <a:lnTo>
                  <a:pt x="1686" y="251"/>
                </a:lnTo>
                <a:lnTo>
                  <a:pt x="1724" y="251"/>
                </a:lnTo>
                <a:lnTo>
                  <a:pt x="1724" y="29"/>
                </a:lnTo>
                <a:close/>
                <a:moveTo>
                  <a:pt x="1896" y="41"/>
                </a:moveTo>
                <a:lnTo>
                  <a:pt x="1867" y="41"/>
                </a:lnTo>
                <a:lnTo>
                  <a:pt x="1867" y="70"/>
                </a:lnTo>
                <a:lnTo>
                  <a:pt x="1896" y="70"/>
                </a:lnTo>
                <a:lnTo>
                  <a:pt x="1896" y="41"/>
                </a:lnTo>
                <a:close/>
                <a:moveTo>
                  <a:pt x="2118" y="172"/>
                </a:moveTo>
                <a:lnTo>
                  <a:pt x="2117" y="152"/>
                </a:lnTo>
                <a:lnTo>
                  <a:pt x="2114" y="135"/>
                </a:lnTo>
                <a:lnTo>
                  <a:pt x="2110" y="125"/>
                </a:lnTo>
                <a:lnTo>
                  <a:pt x="2108" y="121"/>
                </a:lnTo>
                <a:lnTo>
                  <a:pt x="2100" y="109"/>
                </a:lnTo>
                <a:lnTo>
                  <a:pt x="2089" y="101"/>
                </a:lnTo>
                <a:lnTo>
                  <a:pt x="2080" y="96"/>
                </a:lnTo>
                <a:lnTo>
                  <a:pt x="2080" y="154"/>
                </a:lnTo>
                <a:lnTo>
                  <a:pt x="2080" y="216"/>
                </a:lnTo>
                <a:lnTo>
                  <a:pt x="2016" y="216"/>
                </a:lnTo>
                <a:lnTo>
                  <a:pt x="2015" y="211"/>
                </a:lnTo>
                <a:lnTo>
                  <a:pt x="2014" y="205"/>
                </a:lnTo>
                <a:lnTo>
                  <a:pt x="2014" y="199"/>
                </a:lnTo>
                <a:lnTo>
                  <a:pt x="2013" y="191"/>
                </a:lnTo>
                <a:lnTo>
                  <a:pt x="2012" y="184"/>
                </a:lnTo>
                <a:lnTo>
                  <a:pt x="2012" y="172"/>
                </a:lnTo>
                <a:lnTo>
                  <a:pt x="2013" y="163"/>
                </a:lnTo>
                <a:lnTo>
                  <a:pt x="2013" y="151"/>
                </a:lnTo>
                <a:lnTo>
                  <a:pt x="2014" y="139"/>
                </a:lnTo>
                <a:lnTo>
                  <a:pt x="2016" y="127"/>
                </a:lnTo>
                <a:lnTo>
                  <a:pt x="2023" y="125"/>
                </a:lnTo>
                <a:lnTo>
                  <a:pt x="2030" y="125"/>
                </a:lnTo>
                <a:lnTo>
                  <a:pt x="2052" y="125"/>
                </a:lnTo>
                <a:lnTo>
                  <a:pt x="2063" y="128"/>
                </a:lnTo>
                <a:lnTo>
                  <a:pt x="2070" y="135"/>
                </a:lnTo>
                <a:lnTo>
                  <a:pt x="2076" y="143"/>
                </a:lnTo>
                <a:lnTo>
                  <a:pt x="2080" y="154"/>
                </a:lnTo>
                <a:lnTo>
                  <a:pt x="2080" y="96"/>
                </a:lnTo>
                <a:lnTo>
                  <a:pt x="2076" y="94"/>
                </a:lnTo>
                <a:lnTo>
                  <a:pt x="2060" y="91"/>
                </a:lnTo>
                <a:lnTo>
                  <a:pt x="2041" y="89"/>
                </a:lnTo>
                <a:lnTo>
                  <a:pt x="2030" y="89"/>
                </a:lnTo>
                <a:lnTo>
                  <a:pt x="2019" y="90"/>
                </a:lnTo>
                <a:lnTo>
                  <a:pt x="2000" y="94"/>
                </a:lnTo>
                <a:lnTo>
                  <a:pt x="1992" y="96"/>
                </a:lnTo>
                <a:lnTo>
                  <a:pt x="1984" y="100"/>
                </a:lnTo>
                <a:lnTo>
                  <a:pt x="1981" y="111"/>
                </a:lnTo>
                <a:lnTo>
                  <a:pt x="1979" y="122"/>
                </a:lnTo>
                <a:lnTo>
                  <a:pt x="1977" y="135"/>
                </a:lnTo>
                <a:lnTo>
                  <a:pt x="1975" y="148"/>
                </a:lnTo>
                <a:lnTo>
                  <a:pt x="1974" y="161"/>
                </a:lnTo>
                <a:lnTo>
                  <a:pt x="1975" y="184"/>
                </a:lnTo>
                <a:lnTo>
                  <a:pt x="1975" y="194"/>
                </a:lnTo>
                <a:lnTo>
                  <a:pt x="1976" y="205"/>
                </a:lnTo>
                <a:lnTo>
                  <a:pt x="1978" y="216"/>
                </a:lnTo>
                <a:lnTo>
                  <a:pt x="1930" y="216"/>
                </a:lnTo>
                <a:lnTo>
                  <a:pt x="1899" y="216"/>
                </a:lnTo>
                <a:lnTo>
                  <a:pt x="1899" y="93"/>
                </a:lnTo>
                <a:lnTo>
                  <a:pt x="1861" y="93"/>
                </a:lnTo>
                <a:lnTo>
                  <a:pt x="1861" y="266"/>
                </a:lnTo>
                <a:lnTo>
                  <a:pt x="1859" y="275"/>
                </a:lnTo>
                <a:lnTo>
                  <a:pt x="1852" y="287"/>
                </a:lnTo>
                <a:lnTo>
                  <a:pt x="1846" y="290"/>
                </a:lnTo>
                <a:lnTo>
                  <a:pt x="1835" y="290"/>
                </a:lnTo>
                <a:lnTo>
                  <a:pt x="1830" y="290"/>
                </a:lnTo>
                <a:lnTo>
                  <a:pt x="1818" y="289"/>
                </a:lnTo>
                <a:lnTo>
                  <a:pt x="1818" y="324"/>
                </a:lnTo>
                <a:lnTo>
                  <a:pt x="1830" y="325"/>
                </a:lnTo>
                <a:lnTo>
                  <a:pt x="1835" y="325"/>
                </a:lnTo>
                <a:lnTo>
                  <a:pt x="1840" y="325"/>
                </a:lnTo>
                <a:lnTo>
                  <a:pt x="1845" y="325"/>
                </a:lnTo>
                <a:lnTo>
                  <a:pt x="1858" y="324"/>
                </a:lnTo>
                <a:lnTo>
                  <a:pt x="1869" y="320"/>
                </a:lnTo>
                <a:lnTo>
                  <a:pt x="1878" y="314"/>
                </a:lnTo>
                <a:lnTo>
                  <a:pt x="1886" y="305"/>
                </a:lnTo>
                <a:lnTo>
                  <a:pt x="1892" y="294"/>
                </a:lnTo>
                <a:lnTo>
                  <a:pt x="1893" y="290"/>
                </a:lnTo>
                <a:lnTo>
                  <a:pt x="1896" y="282"/>
                </a:lnTo>
                <a:lnTo>
                  <a:pt x="1898" y="268"/>
                </a:lnTo>
                <a:lnTo>
                  <a:pt x="1899" y="251"/>
                </a:lnTo>
                <a:lnTo>
                  <a:pt x="1930" y="251"/>
                </a:lnTo>
                <a:lnTo>
                  <a:pt x="2118" y="251"/>
                </a:lnTo>
                <a:lnTo>
                  <a:pt x="2118" y="216"/>
                </a:lnTo>
                <a:lnTo>
                  <a:pt x="2118" y="172"/>
                </a:lnTo>
                <a:close/>
                <a:moveTo>
                  <a:pt x="2218" y="93"/>
                </a:moveTo>
                <a:lnTo>
                  <a:pt x="2180" y="93"/>
                </a:lnTo>
                <a:lnTo>
                  <a:pt x="2180" y="254"/>
                </a:lnTo>
                <a:lnTo>
                  <a:pt x="2180" y="266"/>
                </a:lnTo>
                <a:lnTo>
                  <a:pt x="2178" y="275"/>
                </a:lnTo>
                <a:lnTo>
                  <a:pt x="2170" y="287"/>
                </a:lnTo>
                <a:lnTo>
                  <a:pt x="2165" y="290"/>
                </a:lnTo>
                <a:lnTo>
                  <a:pt x="2154" y="290"/>
                </a:lnTo>
                <a:lnTo>
                  <a:pt x="2137" y="289"/>
                </a:lnTo>
                <a:lnTo>
                  <a:pt x="2137" y="324"/>
                </a:lnTo>
                <a:lnTo>
                  <a:pt x="2159" y="325"/>
                </a:lnTo>
                <a:lnTo>
                  <a:pt x="2164" y="325"/>
                </a:lnTo>
                <a:lnTo>
                  <a:pt x="2176" y="324"/>
                </a:lnTo>
                <a:lnTo>
                  <a:pt x="2188" y="320"/>
                </a:lnTo>
                <a:lnTo>
                  <a:pt x="2197" y="314"/>
                </a:lnTo>
                <a:lnTo>
                  <a:pt x="2205" y="305"/>
                </a:lnTo>
                <a:lnTo>
                  <a:pt x="2210" y="294"/>
                </a:lnTo>
                <a:lnTo>
                  <a:pt x="2215" y="281"/>
                </a:lnTo>
                <a:lnTo>
                  <a:pt x="2217" y="265"/>
                </a:lnTo>
                <a:lnTo>
                  <a:pt x="2218" y="248"/>
                </a:lnTo>
                <a:lnTo>
                  <a:pt x="2218" y="93"/>
                </a:lnTo>
                <a:close/>
                <a:moveTo>
                  <a:pt x="2376" y="41"/>
                </a:moveTo>
                <a:lnTo>
                  <a:pt x="2347" y="41"/>
                </a:lnTo>
                <a:lnTo>
                  <a:pt x="2347" y="70"/>
                </a:lnTo>
                <a:lnTo>
                  <a:pt x="2376" y="70"/>
                </a:lnTo>
                <a:lnTo>
                  <a:pt x="2376" y="41"/>
                </a:lnTo>
                <a:close/>
                <a:moveTo>
                  <a:pt x="2415" y="41"/>
                </a:moveTo>
                <a:lnTo>
                  <a:pt x="2386" y="41"/>
                </a:lnTo>
                <a:lnTo>
                  <a:pt x="2386" y="70"/>
                </a:lnTo>
                <a:lnTo>
                  <a:pt x="2415" y="70"/>
                </a:lnTo>
                <a:lnTo>
                  <a:pt x="2415" y="41"/>
                </a:lnTo>
                <a:close/>
                <a:moveTo>
                  <a:pt x="2651" y="180"/>
                </a:moveTo>
                <a:lnTo>
                  <a:pt x="2650" y="166"/>
                </a:lnTo>
                <a:lnTo>
                  <a:pt x="2648" y="153"/>
                </a:lnTo>
                <a:lnTo>
                  <a:pt x="2644" y="141"/>
                </a:lnTo>
                <a:lnTo>
                  <a:pt x="2638" y="130"/>
                </a:lnTo>
                <a:lnTo>
                  <a:pt x="2630" y="121"/>
                </a:lnTo>
                <a:lnTo>
                  <a:pt x="2620" y="114"/>
                </a:lnTo>
                <a:lnTo>
                  <a:pt x="2608" y="109"/>
                </a:lnTo>
                <a:lnTo>
                  <a:pt x="2594" y="108"/>
                </a:lnTo>
                <a:lnTo>
                  <a:pt x="2534" y="108"/>
                </a:lnTo>
                <a:lnTo>
                  <a:pt x="2540" y="97"/>
                </a:lnTo>
                <a:lnTo>
                  <a:pt x="2546" y="85"/>
                </a:lnTo>
                <a:lnTo>
                  <a:pt x="2553" y="73"/>
                </a:lnTo>
                <a:lnTo>
                  <a:pt x="2561" y="60"/>
                </a:lnTo>
                <a:lnTo>
                  <a:pt x="2571" y="45"/>
                </a:lnTo>
                <a:lnTo>
                  <a:pt x="2574" y="41"/>
                </a:lnTo>
                <a:lnTo>
                  <a:pt x="2545" y="24"/>
                </a:lnTo>
                <a:lnTo>
                  <a:pt x="2535" y="36"/>
                </a:lnTo>
                <a:lnTo>
                  <a:pt x="2528" y="45"/>
                </a:lnTo>
                <a:lnTo>
                  <a:pt x="2514" y="65"/>
                </a:lnTo>
                <a:lnTo>
                  <a:pt x="2509" y="74"/>
                </a:lnTo>
                <a:lnTo>
                  <a:pt x="2487" y="116"/>
                </a:lnTo>
                <a:lnTo>
                  <a:pt x="2507" y="143"/>
                </a:lnTo>
                <a:lnTo>
                  <a:pt x="2590" y="143"/>
                </a:lnTo>
                <a:lnTo>
                  <a:pt x="2598" y="143"/>
                </a:lnTo>
                <a:lnTo>
                  <a:pt x="2603" y="147"/>
                </a:lnTo>
                <a:lnTo>
                  <a:pt x="2611" y="161"/>
                </a:lnTo>
                <a:lnTo>
                  <a:pt x="2613" y="169"/>
                </a:lnTo>
                <a:lnTo>
                  <a:pt x="2613" y="216"/>
                </a:lnTo>
                <a:lnTo>
                  <a:pt x="2457" y="216"/>
                </a:lnTo>
                <a:lnTo>
                  <a:pt x="2457" y="125"/>
                </a:lnTo>
                <a:lnTo>
                  <a:pt x="2457" y="94"/>
                </a:lnTo>
                <a:lnTo>
                  <a:pt x="2445" y="92"/>
                </a:lnTo>
                <a:lnTo>
                  <a:pt x="2434" y="91"/>
                </a:lnTo>
                <a:lnTo>
                  <a:pt x="2419" y="91"/>
                </a:lnTo>
                <a:lnTo>
                  <a:pt x="2419" y="126"/>
                </a:lnTo>
                <a:lnTo>
                  <a:pt x="2419" y="216"/>
                </a:lnTo>
                <a:lnTo>
                  <a:pt x="2376" y="216"/>
                </a:lnTo>
                <a:lnTo>
                  <a:pt x="2367" y="215"/>
                </a:lnTo>
                <a:lnTo>
                  <a:pt x="2355" y="209"/>
                </a:lnTo>
                <a:lnTo>
                  <a:pt x="2350" y="205"/>
                </a:lnTo>
                <a:lnTo>
                  <a:pt x="2348" y="198"/>
                </a:lnTo>
                <a:lnTo>
                  <a:pt x="2345" y="192"/>
                </a:lnTo>
                <a:lnTo>
                  <a:pt x="2344" y="182"/>
                </a:lnTo>
                <a:lnTo>
                  <a:pt x="2344" y="158"/>
                </a:lnTo>
                <a:lnTo>
                  <a:pt x="2345" y="149"/>
                </a:lnTo>
                <a:lnTo>
                  <a:pt x="2350" y="137"/>
                </a:lnTo>
                <a:lnTo>
                  <a:pt x="2354" y="132"/>
                </a:lnTo>
                <a:lnTo>
                  <a:pt x="2366" y="127"/>
                </a:lnTo>
                <a:lnTo>
                  <a:pt x="2375" y="125"/>
                </a:lnTo>
                <a:lnTo>
                  <a:pt x="2396" y="125"/>
                </a:lnTo>
                <a:lnTo>
                  <a:pt x="2407" y="126"/>
                </a:lnTo>
                <a:lnTo>
                  <a:pt x="2419" y="126"/>
                </a:lnTo>
                <a:lnTo>
                  <a:pt x="2419" y="91"/>
                </a:lnTo>
                <a:lnTo>
                  <a:pt x="2403" y="90"/>
                </a:lnTo>
                <a:lnTo>
                  <a:pt x="2391" y="89"/>
                </a:lnTo>
                <a:lnTo>
                  <a:pt x="2382" y="89"/>
                </a:lnTo>
                <a:lnTo>
                  <a:pt x="2369" y="90"/>
                </a:lnTo>
                <a:lnTo>
                  <a:pt x="2357" y="91"/>
                </a:lnTo>
                <a:lnTo>
                  <a:pt x="2347" y="94"/>
                </a:lnTo>
                <a:lnTo>
                  <a:pt x="2337" y="97"/>
                </a:lnTo>
                <a:lnTo>
                  <a:pt x="2326" y="103"/>
                </a:lnTo>
                <a:lnTo>
                  <a:pt x="2318" y="111"/>
                </a:lnTo>
                <a:lnTo>
                  <a:pt x="2313" y="124"/>
                </a:lnTo>
                <a:lnTo>
                  <a:pt x="2310" y="133"/>
                </a:lnTo>
                <a:lnTo>
                  <a:pt x="2307" y="144"/>
                </a:lnTo>
                <a:lnTo>
                  <a:pt x="2306" y="156"/>
                </a:lnTo>
                <a:lnTo>
                  <a:pt x="2306" y="170"/>
                </a:lnTo>
                <a:lnTo>
                  <a:pt x="2306" y="185"/>
                </a:lnTo>
                <a:lnTo>
                  <a:pt x="2307" y="198"/>
                </a:lnTo>
                <a:lnTo>
                  <a:pt x="2310" y="208"/>
                </a:lnTo>
                <a:lnTo>
                  <a:pt x="2313" y="218"/>
                </a:lnTo>
                <a:lnTo>
                  <a:pt x="2318" y="230"/>
                </a:lnTo>
                <a:lnTo>
                  <a:pt x="2327" y="239"/>
                </a:lnTo>
                <a:lnTo>
                  <a:pt x="2338" y="244"/>
                </a:lnTo>
                <a:lnTo>
                  <a:pt x="2347" y="247"/>
                </a:lnTo>
                <a:lnTo>
                  <a:pt x="2358" y="249"/>
                </a:lnTo>
                <a:lnTo>
                  <a:pt x="2370" y="251"/>
                </a:lnTo>
                <a:lnTo>
                  <a:pt x="2384" y="251"/>
                </a:lnTo>
                <a:lnTo>
                  <a:pt x="2651" y="251"/>
                </a:lnTo>
                <a:lnTo>
                  <a:pt x="2651" y="216"/>
                </a:lnTo>
                <a:lnTo>
                  <a:pt x="2651" y="180"/>
                </a:lnTo>
                <a:close/>
                <a:moveTo>
                  <a:pt x="2913" y="41"/>
                </a:moveTo>
                <a:lnTo>
                  <a:pt x="2883" y="41"/>
                </a:lnTo>
                <a:lnTo>
                  <a:pt x="2883" y="70"/>
                </a:lnTo>
                <a:lnTo>
                  <a:pt x="2913" y="70"/>
                </a:lnTo>
                <a:lnTo>
                  <a:pt x="2913" y="41"/>
                </a:lnTo>
                <a:close/>
                <a:moveTo>
                  <a:pt x="2942" y="0"/>
                </a:moveTo>
                <a:lnTo>
                  <a:pt x="2913" y="0"/>
                </a:lnTo>
                <a:lnTo>
                  <a:pt x="2913" y="29"/>
                </a:lnTo>
                <a:lnTo>
                  <a:pt x="2942" y="29"/>
                </a:lnTo>
                <a:lnTo>
                  <a:pt x="2942" y="0"/>
                </a:lnTo>
                <a:close/>
                <a:moveTo>
                  <a:pt x="2971" y="41"/>
                </a:moveTo>
                <a:lnTo>
                  <a:pt x="2942" y="41"/>
                </a:lnTo>
                <a:lnTo>
                  <a:pt x="2942" y="70"/>
                </a:lnTo>
                <a:lnTo>
                  <a:pt x="2971" y="70"/>
                </a:lnTo>
                <a:lnTo>
                  <a:pt x="2971" y="41"/>
                </a:lnTo>
                <a:close/>
                <a:moveTo>
                  <a:pt x="3022" y="157"/>
                </a:moveTo>
                <a:lnTo>
                  <a:pt x="3021" y="146"/>
                </a:lnTo>
                <a:lnTo>
                  <a:pt x="3019" y="134"/>
                </a:lnTo>
                <a:lnTo>
                  <a:pt x="3015" y="109"/>
                </a:lnTo>
                <a:lnTo>
                  <a:pt x="3011" y="92"/>
                </a:lnTo>
                <a:lnTo>
                  <a:pt x="2978" y="94"/>
                </a:lnTo>
                <a:lnTo>
                  <a:pt x="2982" y="137"/>
                </a:lnTo>
                <a:lnTo>
                  <a:pt x="2983" y="152"/>
                </a:lnTo>
                <a:lnTo>
                  <a:pt x="2983" y="164"/>
                </a:lnTo>
                <a:lnTo>
                  <a:pt x="2983" y="216"/>
                </a:lnTo>
                <a:lnTo>
                  <a:pt x="2957" y="216"/>
                </a:lnTo>
                <a:lnTo>
                  <a:pt x="2953" y="215"/>
                </a:lnTo>
                <a:lnTo>
                  <a:pt x="2945" y="212"/>
                </a:lnTo>
                <a:lnTo>
                  <a:pt x="2943" y="210"/>
                </a:lnTo>
                <a:lnTo>
                  <a:pt x="2946" y="202"/>
                </a:lnTo>
                <a:lnTo>
                  <a:pt x="2947" y="192"/>
                </a:lnTo>
                <a:lnTo>
                  <a:pt x="2947" y="107"/>
                </a:lnTo>
                <a:lnTo>
                  <a:pt x="2908" y="107"/>
                </a:lnTo>
                <a:lnTo>
                  <a:pt x="2908" y="193"/>
                </a:lnTo>
                <a:lnTo>
                  <a:pt x="2906" y="201"/>
                </a:lnTo>
                <a:lnTo>
                  <a:pt x="2900" y="213"/>
                </a:lnTo>
                <a:lnTo>
                  <a:pt x="2895" y="216"/>
                </a:lnTo>
                <a:lnTo>
                  <a:pt x="2869" y="216"/>
                </a:lnTo>
                <a:lnTo>
                  <a:pt x="2869" y="107"/>
                </a:lnTo>
                <a:lnTo>
                  <a:pt x="2830" y="107"/>
                </a:lnTo>
                <a:lnTo>
                  <a:pt x="2830" y="216"/>
                </a:lnTo>
                <a:lnTo>
                  <a:pt x="2752" y="216"/>
                </a:lnTo>
                <a:lnTo>
                  <a:pt x="2752" y="93"/>
                </a:lnTo>
                <a:lnTo>
                  <a:pt x="2714" y="93"/>
                </a:lnTo>
                <a:lnTo>
                  <a:pt x="2714" y="266"/>
                </a:lnTo>
                <a:lnTo>
                  <a:pt x="2712" y="275"/>
                </a:lnTo>
                <a:lnTo>
                  <a:pt x="2704" y="287"/>
                </a:lnTo>
                <a:lnTo>
                  <a:pt x="2699" y="290"/>
                </a:lnTo>
                <a:lnTo>
                  <a:pt x="2683" y="290"/>
                </a:lnTo>
                <a:lnTo>
                  <a:pt x="2671" y="289"/>
                </a:lnTo>
                <a:lnTo>
                  <a:pt x="2671" y="324"/>
                </a:lnTo>
                <a:lnTo>
                  <a:pt x="2693" y="325"/>
                </a:lnTo>
                <a:lnTo>
                  <a:pt x="2698" y="325"/>
                </a:lnTo>
                <a:lnTo>
                  <a:pt x="2711" y="324"/>
                </a:lnTo>
                <a:lnTo>
                  <a:pt x="2722" y="320"/>
                </a:lnTo>
                <a:lnTo>
                  <a:pt x="2731" y="314"/>
                </a:lnTo>
                <a:lnTo>
                  <a:pt x="2739" y="305"/>
                </a:lnTo>
                <a:lnTo>
                  <a:pt x="2744" y="294"/>
                </a:lnTo>
                <a:lnTo>
                  <a:pt x="2748" y="282"/>
                </a:lnTo>
                <a:lnTo>
                  <a:pt x="2751" y="268"/>
                </a:lnTo>
                <a:lnTo>
                  <a:pt x="2752" y="251"/>
                </a:lnTo>
                <a:lnTo>
                  <a:pt x="2909" y="251"/>
                </a:lnTo>
                <a:lnTo>
                  <a:pt x="2919" y="248"/>
                </a:lnTo>
                <a:lnTo>
                  <a:pt x="2927" y="241"/>
                </a:lnTo>
                <a:lnTo>
                  <a:pt x="2936" y="248"/>
                </a:lnTo>
                <a:lnTo>
                  <a:pt x="2947" y="251"/>
                </a:lnTo>
                <a:lnTo>
                  <a:pt x="3022" y="251"/>
                </a:lnTo>
                <a:lnTo>
                  <a:pt x="3022" y="15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ar-SA"/>
          </a:p>
        </xdr:txBody>
      </xdr:sp>
    </xdr:grpSp>
    <xdr:clientData/>
  </xdr:twoCellAnchor>
  <xdr:twoCellAnchor editAs="oneCell">
    <xdr:from>
      <xdr:col>4</xdr:col>
      <xdr:colOff>1836419</xdr:colOff>
      <xdr:row>32</xdr:row>
      <xdr:rowOff>45720</xdr:rowOff>
    </xdr:from>
    <xdr:to>
      <xdr:col>5</xdr:col>
      <xdr:colOff>1379219</xdr:colOff>
      <xdr:row>38</xdr:row>
      <xdr:rowOff>210185</xdr:rowOff>
    </xdr:to>
    <xdr:pic>
      <xdr:nvPicPr>
        <xdr:cNvPr id="16" name="image6.png">
          <a:extLst>
            <a:ext uri="{FF2B5EF4-FFF2-40B4-BE49-F238E27FC236}">
              <a16:creationId xmlns:a16="http://schemas.microsoft.com/office/drawing/2014/main" id="{8D58DBF4-5809-456A-BA96-7589F359139C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982911741" y="9616440"/>
          <a:ext cx="1386840" cy="1536065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1066800</xdr:colOff>
      <xdr:row>28</xdr:row>
      <xdr:rowOff>251460</xdr:rowOff>
    </xdr:from>
    <xdr:to>
      <xdr:col>4</xdr:col>
      <xdr:colOff>75565</xdr:colOff>
      <xdr:row>37</xdr:row>
      <xdr:rowOff>205740</xdr:rowOff>
    </xdr:to>
    <xdr:pic>
      <xdr:nvPicPr>
        <xdr:cNvPr id="17" name="صورة 16">
          <a:extLst>
            <a:ext uri="{FF2B5EF4-FFF2-40B4-BE49-F238E27FC236}">
              <a16:creationId xmlns:a16="http://schemas.microsoft.com/office/drawing/2014/main" id="{F8C27D23-981A-454D-8843-AD9C883A7071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059435" y="8709660"/>
          <a:ext cx="1660525" cy="2217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56</xdr:row>
      <xdr:rowOff>14605</xdr:rowOff>
    </xdr:from>
    <xdr:to>
      <xdr:col>18</xdr:col>
      <xdr:colOff>25400</xdr:colOff>
      <xdr:row>58</xdr:row>
      <xdr:rowOff>62230</xdr:rowOff>
    </xdr:to>
    <xdr:grpSp>
      <xdr:nvGrpSpPr>
        <xdr:cNvPr id="10" name="Group 8">
          <a:extLst>
            <a:ext uri="{FF2B5EF4-FFF2-40B4-BE49-F238E27FC236}">
              <a16:creationId xmlns:a16="http://schemas.microsoft.com/office/drawing/2014/main" id="{FB32417F-2B64-4B49-A5E8-0D58F935416C}"/>
            </a:ext>
          </a:extLst>
        </xdr:cNvPr>
        <xdr:cNvGrpSpPr>
          <a:grpSpLocks/>
        </xdr:cNvGrpSpPr>
      </xdr:nvGrpSpPr>
      <xdr:grpSpPr bwMode="auto">
        <a:xfrm>
          <a:off x="10021227100" y="15132141"/>
          <a:ext cx="13145407" cy="646339"/>
          <a:chOff x="-935" y="16324"/>
          <a:chExt cx="11682" cy="513"/>
        </a:xfrm>
      </xdr:grpSpPr>
      <xdr:pic>
        <xdr:nvPicPr>
          <xdr:cNvPr id="11" name="Picture 12">
            <a:extLst>
              <a:ext uri="{FF2B5EF4-FFF2-40B4-BE49-F238E27FC236}">
                <a16:creationId xmlns:a16="http://schemas.microsoft.com/office/drawing/2014/main" id="{8D1DBF48-9EA0-EA94-8784-5E43ED821F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935" y="16327"/>
            <a:ext cx="9833" cy="5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62B3A43B-D5B6-57F2-406B-574AB4801DAB}"/>
              </a:ext>
            </a:extLst>
          </xdr:cNvPr>
          <xdr:cNvSpPr>
            <a:spLocks noChangeArrowheads="1"/>
          </xdr:cNvSpPr>
        </xdr:nvSpPr>
        <xdr:spPr bwMode="auto">
          <a:xfrm>
            <a:off x="7297" y="16324"/>
            <a:ext cx="3450" cy="510"/>
          </a:xfrm>
          <a:prstGeom prst="rect">
            <a:avLst/>
          </a:prstGeom>
          <a:solidFill>
            <a:srgbClr val="02030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ar-SA"/>
          </a:p>
        </xdr:txBody>
      </xdr:sp>
      <xdr:pic>
        <xdr:nvPicPr>
          <xdr:cNvPr id="13" name="Picture 10">
            <a:extLst>
              <a:ext uri="{FF2B5EF4-FFF2-40B4-BE49-F238E27FC236}">
                <a16:creationId xmlns:a16="http://schemas.microsoft.com/office/drawing/2014/main" id="{DF898C60-7E7E-B446-7913-F5663486665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-935" y="16327"/>
            <a:ext cx="8210" cy="50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4" name="AutoShape 9">
            <a:extLst>
              <a:ext uri="{FF2B5EF4-FFF2-40B4-BE49-F238E27FC236}">
                <a16:creationId xmlns:a16="http://schemas.microsoft.com/office/drawing/2014/main" id="{F8C729E8-BB7F-CBF1-C184-FB1AA1C26CFC}"/>
              </a:ext>
            </a:extLst>
          </xdr:cNvPr>
          <xdr:cNvSpPr>
            <a:spLocks/>
          </xdr:cNvSpPr>
        </xdr:nvSpPr>
        <xdr:spPr bwMode="auto">
          <a:xfrm>
            <a:off x="7584" y="16400"/>
            <a:ext cx="3022" cy="326"/>
          </a:xfrm>
          <a:custGeom>
            <a:avLst/>
            <a:gdLst>
              <a:gd name="T0" fmla="*/ 84 w 3022"/>
              <a:gd name="T1" fmla="*/ 16490 h 326"/>
              <a:gd name="T2" fmla="*/ 113 w 3022"/>
              <a:gd name="T3" fmla="*/ 16636 h 326"/>
              <a:gd name="T4" fmla="*/ 38 w 3022"/>
              <a:gd name="T5" fmla="*/ 16602 h 326"/>
              <a:gd name="T6" fmla="*/ 90 w 3022"/>
              <a:gd name="T7" fmla="*/ 16545 h 326"/>
              <a:gd name="T8" fmla="*/ 52 w 3022"/>
              <a:gd name="T9" fmla="*/ 16511 h 326"/>
              <a:gd name="T10" fmla="*/ 0 w 3022"/>
              <a:gd name="T11" fmla="*/ 16576 h 326"/>
              <a:gd name="T12" fmla="*/ 33 w 3022"/>
              <a:gd name="T13" fmla="*/ 16664 h 326"/>
              <a:gd name="T14" fmla="*/ 151 w 3022"/>
              <a:gd name="T15" fmla="*/ 16514 h 326"/>
              <a:gd name="T16" fmla="*/ 187 w 3022"/>
              <a:gd name="T17" fmla="*/ 16710 h 326"/>
              <a:gd name="T18" fmla="*/ 238 w 3022"/>
              <a:gd name="T19" fmla="*/ 16725 h 326"/>
              <a:gd name="T20" fmla="*/ 400 w 3022"/>
              <a:gd name="T21" fmla="*/ 16719 h 326"/>
              <a:gd name="T22" fmla="*/ 619 w 3022"/>
              <a:gd name="T23" fmla="*/ 16461 h 326"/>
              <a:gd name="T24" fmla="*/ 714 w 3022"/>
              <a:gd name="T25" fmla="*/ 16636 h 326"/>
              <a:gd name="T26" fmla="*/ 499 w 3022"/>
              <a:gd name="T27" fmla="*/ 16636 h 326"/>
              <a:gd name="T28" fmla="*/ 456 w 3022"/>
              <a:gd name="T29" fmla="*/ 16510 h 326"/>
              <a:gd name="T30" fmla="*/ 415 w 3022"/>
              <a:gd name="T31" fmla="*/ 16545 h 326"/>
              <a:gd name="T32" fmla="*/ 287 w 3022"/>
              <a:gd name="T33" fmla="*/ 16671 h 326"/>
              <a:gd name="T34" fmla="*/ 941 w 3022"/>
              <a:gd name="T35" fmla="*/ 16707 h 326"/>
              <a:gd name="T36" fmla="*/ 959 w 3022"/>
              <a:gd name="T37" fmla="*/ 16740 h 326"/>
              <a:gd name="T38" fmla="*/ 1088 w 3022"/>
              <a:gd name="T39" fmla="*/ 16691 h 326"/>
              <a:gd name="T40" fmla="*/ 1126 w 3022"/>
              <a:gd name="T41" fmla="*/ 16719 h 326"/>
              <a:gd name="T42" fmla="*/ 1212 w 3022"/>
              <a:gd name="T43" fmla="*/ 16461 h 326"/>
              <a:gd name="T44" fmla="*/ 1422 w 3022"/>
              <a:gd name="T45" fmla="*/ 16449 h 326"/>
              <a:gd name="T46" fmla="*/ 1428 w 3022"/>
              <a:gd name="T47" fmla="*/ 16510 h 326"/>
              <a:gd name="T48" fmla="*/ 1387 w 3022"/>
              <a:gd name="T49" fmla="*/ 16545 h 326"/>
              <a:gd name="T50" fmla="*/ 1243 w 3022"/>
              <a:gd name="T51" fmla="*/ 16636 h 326"/>
              <a:gd name="T52" fmla="*/ 1025 w 3022"/>
              <a:gd name="T53" fmla="*/ 16671 h 326"/>
              <a:gd name="T54" fmla="*/ 1567 w 3022"/>
              <a:gd name="T55" fmla="*/ 16490 h 326"/>
              <a:gd name="T56" fmla="*/ 1647 w 3022"/>
              <a:gd name="T57" fmla="*/ 16450 h 326"/>
              <a:gd name="T58" fmla="*/ 1867 w 3022"/>
              <a:gd name="T59" fmla="*/ 16490 h 326"/>
              <a:gd name="T60" fmla="*/ 2108 w 3022"/>
              <a:gd name="T61" fmla="*/ 16541 h 326"/>
              <a:gd name="T62" fmla="*/ 2014 w 3022"/>
              <a:gd name="T63" fmla="*/ 16625 h 326"/>
              <a:gd name="T64" fmla="*/ 2016 w 3022"/>
              <a:gd name="T65" fmla="*/ 16547 h 326"/>
              <a:gd name="T66" fmla="*/ 2080 w 3022"/>
              <a:gd name="T67" fmla="*/ 16516 h 326"/>
              <a:gd name="T68" fmla="*/ 1984 w 3022"/>
              <a:gd name="T69" fmla="*/ 16520 h 326"/>
              <a:gd name="T70" fmla="*/ 1976 w 3022"/>
              <a:gd name="T71" fmla="*/ 16625 h 326"/>
              <a:gd name="T72" fmla="*/ 1859 w 3022"/>
              <a:gd name="T73" fmla="*/ 16695 h 326"/>
              <a:gd name="T74" fmla="*/ 1835 w 3022"/>
              <a:gd name="T75" fmla="*/ 16745 h 326"/>
              <a:gd name="T76" fmla="*/ 1893 w 3022"/>
              <a:gd name="T77" fmla="*/ 16710 h 326"/>
              <a:gd name="T78" fmla="*/ 2118 w 3022"/>
              <a:gd name="T79" fmla="*/ 16636 h 326"/>
              <a:gd name="T80" fmla="*/ 2165 w 3022"/>
              <a:gd name="T81" fmla="*/ 16710 h 326"/>
              <a:gd name="T82" fmla="*/ 2197 w 3022"/>
              <a:gd name="T83" fmla="*/ 16734 h 326"/>
              <a:gd name="T84" fmla="*/ 2347 w 3022"/>
              <a:gd name="T85" fmla="*/ 16461 h 326"/>
              <a:gd name="T86" fmla="*/ 2415 w 3022"/>
              <a:gd name="T87" fmla="*/ 16461 h 326"/>
              <a:gd name="T88" fmla="*/ 2608 w 3022"/>
              <a:gd name="T89" fmla="*/ 16529 h 326"/>
              <a:gd name="T90" fmla="*/ 2574 w 3022"/>
              <a:gd name="T91" fmla="*/ 16461 h 326"/>
              <a:gd name="T92" fmla="*/ 2590 w 3022"/>
              <a:gd name="T93" fmla="*/ 16563 h 326"/>
              <a:gd name="T94" fmla="*/ 2457 w 3022"/>
              <a:gd name="T95" fmla="*/ 16514 h 326"/>
              <a:gd name="T96" fmla="*/ 2355 w 3022"/>
              <a:gd name="T97" fmla="*/ 16629 h 326"/>
              <a:gd name="T98" fmla="*/ 2354 w 3022"/>
              <a:gd name="T99" fmla="*/ 16552 h 326"/>
              <a:gd name="T100" fmla="*/ 2391 w 3022"/>
              <a:gd name="T101" fmla="*/ 16509 h 326"/>
              <a:gd name="T102" fmla="*/ 2313 w 3022"/>
              <a:gd name="T103" fmla="*/ 16544 h 326"/>
              <a:gd name="T104" fmla="*/ 2313 w 3022"/>
              <a:gd name="T105" fmla="*/ 16638 h 326"/>
              <a:gd name="T106" fmla="*/ 2651 w 3022"/>
              <a:gd name="T107" fmla="*/ 16671 h 326"/>
              <a:gd name="T108" fmla="*/ 2942 w 3022"/>
              <a:gd name="T109" fmla="*/ 16420 h 326"/>
              <a:gd name="T110" fmla="*/ 2971 w 3022"/>
              <a:gd name="T111" fmla="*/ 16490 h 326"/>
              <a:gd name="T112" fmla="*/ 2982 w 3022"/>
              <a:gd name="T113" fmla="*/ 16557 h 326"/>
              <a:gd name="T114" fmla="*/ 2946 w 3022"/>
              <a:gd name="T115" fmla="*/ 16622 h 326"/>
              <a:gd name="T116" fmla="*/ 2869 w 3022"/>
              <a:gd name="T117" fmla="*/ 16636 h 326"/>
              <a:gd name="T118" fmla="*/ 2712 w 3022"/>
              <a:gd name="T119" fmla="*/ 16695 h 326"/>
              <a:gd name="T120" fmla="*/ 2711 w 3022"/>
              <a:gd name="T121" fmla="*/ 16744 h 326"/>
              <a:gd name="T122" fmla="*/ 2909 w 3022"/>
              <a:gd name="T123" fmla="*/ 16671 h 32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3022" h="326">
                <a:moveTo>
                  <a:pt x="75" y="41"/>
                </a:moveTo>
                <a:lnTo>
                  <a:pt x="45" y="41"/>
                </a:lnTo>
                <a:lnTo>
                  <a:pt x="45" y="70"/>
                </a:lnTo>
                <a:lnTo>
                  <a:pt x="75" y="70"/>
                </a:lnTo>
                <a:lnTo>
                  <a:pt x="75" y="41"/>
                </a:lnTo>
                <a:close/>
                <a:moveTo>
                  <a:pt x="113" y="41"/>
                </a:moveTo>
                <a:lnTo>
                  <a:pt x="84" y="41"/>
                </a:lnTo>
                <a:lnTo>
                  <a:pt x="84" y="70"/>
                </a:lnTo>
                <a:lnTo>
                  <a:pt x="113" y="70"/>
                </a:lnTo>
                <a:lnTo>
                  <a:pt x="113" y="41"/>
                </a:lnTo>
                <a:close/>
                <a:moveTo>
                  <a:pt x="151" y="94"/>
                </a:moveTo>
                <a:lnTo>
                  <a:pt x="140" y="92"/>
                </a:lnTo>
                <a:lnTo>
                  <a:pt x="128" y="91"/>
                </a:lnTo>
                <a:lnTo>
                  <a:pt x="113" y="91"/>
                </a:lnTo>
                <a:lnTo>
                  <a:pt x="113" y="126"/>
                </a:lnTo>
                <a:lnTo>
                  <a:pt x="113" y="216"/>
                </a:lnTo>
                <a:lnTo>
                  <a:pt x="70" y="216"/>
                </a:lnTo>
                <a:lnTo>
                  <a:pt x="61" y="215"/>
                </a:lnTo>
                <a:lnTo>
                  <a:pt x="55" y="212"/>
                </a:lnTo>
                <a:lnTo>
                  <a:pt x="49" y="209"/>
                </a:lnTo>
                <a:lnTo>
                  <a:pt x="45" y="205"/>
                </a:lnTo>
                <a:lnTo>
                  <a:pt x="42" y="199"/>
                </a:lnTo>
                <a:lnTo>
                  <a:pt x="40" y="192"/>
                </a:lnTo>
                <a:lnTo>
                  <a:pt x="38" y="182"/>
                </a:lnTo>
                <a:lnTo>
                  <a:pt x="38" y="159"/>
                </a:lnTo>
                <a:lnTo>
                  <a:pt x="40" y="150"/>
                </a:lnTo>
                <a:lnTo>
                  <a:pt x="42" y="143"/>
                </a:lnTo>
                <a:lnTo>
                  <a:pt x="45" y="137"/>
                </a:lnTo>
                <a:lnTo>
                  <a:pt x="49" y="132"/>
                </a:lnTo>
                <a:lnTo>
                  <a:pt x="61" y="127"/>
                </a:lnTo>
                <a:lnTo>
                  <a:pt x="69" y="125"/>
                </a:lnTo>
                <a:lnTo>
                  <a:pt x="90" y="125"/>
                </a:lnTo>
                <a:lnTo>
                  <a:pt x="101" y="126"/>
                </a:lnTo>
                <a:lnTo>
                  <a:pt x="113" y="126"/>
                </a:lnTo>
                <a:lnTo>
                  <a:pt x="113" y="91"/>
                </a:lnTo>
                <a:lnTo>
                  <a:pt x="98" y="90"/>
                </a:lnTo>
                <a:lnTo>
                  <a:pt x="85" y="89"/>
                </a:lnTo>
                <a:lnTo>
                  <a:pt x="77" y="89"/>
                </a:lnTo>
                <a:lnTo>
                  <a:pt x="63" y="90"/>
                </a:lnTo>
                <a:lnTo>
                  <a:pt x="52" y="91"/>
                </a:lnTo>
                <a:lnTo>
                  <a:pt x="41" y="94"/>
                </a:lnTo>
                <a:lnTo>
                  <a:pt x="32" y="97"/>
                </a:lnTo>
                <a:lnTo>
                  <a:pt x="21" y="103"/>
                </a:lnTo>
                <a:lnTo>
                  <a:pt x="12" y="111"/>
                </a:lnTo>
                <a:lnTo>
                  <a:pt x="7" y="124"/>
                </a:lnTo>
                <a:lnTo>
                  <a:pt x="4" y="133"/>
                </a:lnTo>
                <a:lnTo>
                  <a:pt x="2" y="144"/>
                </a:lnTo>
                <a:lnTo>
                  <a:pt x="0" y="156"/>
                </a:lnTo>
                <a:lnTo>
                  <a:pt x="0" y="170"/>
                </a:lnTo>
                <a:lnTo>
                  <a:pt x="0" y="184"/>
                </a:lnTo>
                <a:lnTo>
                  <a:pt x="2" y="197"/>
                </a:lnTo>
                <a:lnTo>
                  <a:pt x="4" y="208"/>
                </a:lnTo>
                <a:lnTo>
                  <a:pt x="7" y="218"/>
                </a:lnTo>
                <a:lnTo>
                  <a:pt x="13" y="230"/>
                </a:lnTo>
                <a:lnTo>
                  <a:pt x="21" y="239"/>
                </a:lnTo>
                <a:lnTo>
                  <a:pt x="33" y="244"/>
                </a:lnTo>
                <a:lnTo>
                  <a:pt x="42" y="247"/>
                </a:lnTo>
                <a:lnTo>
                  <a:pt x="53" y="250"/>
                </a:lnTo>
                <a:lnTo>
                  <a:pt x="65" y="251"/>
                </a:lnTo>
                <a:lnTo>
                  <a:pt x="78" y="251"/>
                </a:lnTo>
                <a:lnTo>
                  <a:pt x="151" y="251"/>
                </a:lnTo>
                <a:lnTo>
                  <a:pt x="151" y="216"/>
                </a:lnTo>
                <a:lnTo>
                  <a:pt x="151" y="125"/>
                </a:lnTo>
                <a:lnTo>
                  <a:pt x="151" y="94"/>
                </a:lnTo>
                <a:close/>
                <a:moveTo>
                  <a:pt x="251" y="93"/>
                </a:moveTo>
                <a:lnTo>
                  <a:pt x="213" y="93"/>
                </a:lnTo>
                <a:lnTo>
                  <a:pt x="213" y="254"/>
                </a:lnTo>
                <a:lnTo>
                  <a:pt x="213" y="266"/>
                </a:lnTo>
                <a:lnTo>
                  <a:pt x="211" y="275"/>
                </a:lnTo>
                <a:lnTo>
                  <a:pt x="203" y="287"/>
                </a:lnTo>
                <a:lnTo>
                  <a:pt x="198" y="290"/>
                </a:lnTo>
                <a:lnTo>
                  <a:pt x="187" y="290"/>
                </a:lnTo>
                <a:lnTo>
                  <a:pt x="170" y="289"/>
                </a:lnTo>
                <a:lnTo>
                  <a:pt x="170" y="324"/>
                </a:lnTo>
                <a:lnTo>
                  <a:pt x="192" y="325"/>
                </a:lnTo>
                <a:lnTo>
                  <a:pt x="197" y="325"/>
                </a:lnTo>
                <a:lnTo>
                  <a:pt x="210" y="324"/>
                </a:lnTo>
                <a:lnTo>
                  <a:pt x="221" y="320"/>
                </a:lnTo>
                <a:lnTo>
                  <a:pt x="230" y="314"/>
                </a:lnTo>
                <a:lnTo>
                  <a:pt x="238" y="305"/>
                </a:lnTo>
                <a:lnTo>
                  <a:pt x="244" y="294"/>
                </a:lnTo>
                <a:lnTo>
                  <a:pt x="248" y="281"/>
                </a:lnTo>
                <a:lnTo>
                  <a:pt x="250" y="265"/>
                </a:lnTo>
                <a:lnTo>
                  <a:pt x="251" y="248"/>
                </a:lnTo>
                <a:lnTo>
                  <a:pt x="251" y="93"/>
                </a:lnTo>
                <a:close/>
                <a:moveTo>
                  <a:pt x="430" y="271"/>
                </a:moveTo>
                <a:lnTo>
                  <a:pt x="400" y="271"/>
                </a:lnTo>
                <a:lnTo>
                  <a:pt x="400" y="299"/>
                </a:lnTo>
                <a:lnTo>
                  <a:pt x="430" y="299"/>
                </a:lnTo>
                <a:lnTo>
                  <a:pt x="430" y="271"/>
                </a:lnTo>
                <a:close/>
                <a:moveTo>
                  <a:pt x="581" y="41"/>
                </a:moveTo>
                <a:lnTo>
                  <a:pt x="552" y="41"/>
                </a:lnTo>
                <a:lnTo>
                  <a:pt x="552" y="70"/>
                </a:lnTo>
                <a:lnTo>
                  <a:pt x="581" y="70"/>
                </a:lnTo>
                <a:lnTo>
                  <a:pt x="581" y="41"/>
                </a:lnTo>
                <a:close/>
                <a:moveTo>
                  <a:pt x="619" y="41"/>
                </a:moveTo>
                <a:lnTo>
                  <a:pt x="590" y="41"/>
                </a:lnTo>
                <a:lnTo>
                  <a:pt x="590" y="70"/>
                </a:lnTo>
                <a:lnTo>
                  <a:pt x="619" y="70"/>
                </a:lnTo>
                <a:lnTo>
                  <a:pt x="619" y="41"/>
                </a:lnTo>
                <a:close/>
                <a:moveTo>
                  <a:pt x="815" y="29"/>
                </a:moveTo>
                <a:lnTo>
                  <a:pt x="776" y="29"/>
                </a:lnTo>
                <a:lnTo>
                  <a:pt x="776" y="216"/>
                </a:lnTo>
                <a:lnTo>
                  <a:pt x="714" y="216"/>
                </a:lnTo>
                <a:lnTo>
                  <a:pt x="714" y="29"/>
                </a:lnTo>
                <a:lnTo>
                  <a:pt x="676" y="29"/>
                </a:lnTo>
                <a:lnTo>
                  <a:pt x="676" y="216"/>
                </a:lnTo>
                <a:lnTo>
                  <a:pt x="605" y="216"/>
                </a:lnTo>
                <a:lnTo>
                  <a:pt x="605" y="92"/>
                </a:lnTo>
                <a:lnTo>
                  <a:pt x="566" y="92"/>
                </a:lnTo>
                <a:lnTo>
                  <a:pt x="566" y="216"/>
                </a:lnTo>
                <a:lnTo>
                  <a:pt x="499" y="216"/>
                </a:lnTo>
                <a:lnTo>
                  <a:pt x="499" y="145"/>
                </a:lnTo>
                <a:lnTo>
                  <a:pt x="498" y="131"/>
                </a:lnTo>
                <a:lnTo>
                  <a:pt x="495" y="119"/>
                </a:lnTo>
                <a:lnTo>
                  <a:pt x="490" y="110"/>
                </a:lnTo>
                <a:lnTo>
                  <a:pt x="484" y="102"/>
                </a:lnTo>
                <a:lnTo>
                  <a:pt x="476" y="97"/>
                </a:lnTo>
                <a:lnTo>
                  <a:pt x="466" y="93"/>
                </a:lnTo>
                <a:lnTo>
                  <a:pt x="456" y="90"/>
                </a:lnTo>
                <a:lnTo>
                  <a:pt x="444" y="90"/>
                </a:lnTo>
                <a:lnTo>
                  <a:pt x="435" y="90"/>
                </a:lnTo>
                <a:lnTo>
                  <a:pt x="423" y="90"/>
                </a:lnTo>
                <a:lnTo>
                  <a:pt x="396" y="94"/>
                </a:lnTo>
                <a:lnTo>
                  <a:pt x="384" y="97"/>
                </a:lnTo>
                <a:lnTo>
                  <a:pt x="369" y="100"/>
                </a:lnTo>
                <a:lnTo>
                  <a:pt x="370" y="129"/>
                </a:lnTo>
                <a:lnTo>
                  <a:pt x="415" y="125"/>
                </a:lnTo>
                <a:lnTo>
                  <a:pt x="437" y="124"/>
                </a:lnTo>
                <a:lnTo>
                  <a:pt x="454" y="124"/>
                </a:lnTo>
                <a:lnTo>
                  <a:pt x="461" y="131"/>
                </a:lnTo>
                <a:lnTo>
                  <a:pt x="461" y="216"/>
                </a:lnTo>
                <a:lnTo>
                  <a:pt x="325" y="216"/>
                </a:lnTo>
                <a:lnTo>
                  <a:pt x="325" y="29"/>
                </a:lnTo>
                <a:lnTo>
                  <a:pt x="287" y="29"/>
                </a:lnTo>
                <a:lnTo>
                  <a:pt x="287" y="251"/>
                </a:lnTo>
                <a:lnTo>
                  <a:pt x="815" y="251"/>
                </a:lnTo>
                <a:lnTo>
                  <a:pt x="815" y="29"/>
                </a:lnTo>
                <a:close/>
                <a:moveTo>
                  <a:pt x="989" y="93"/>
                </a:moveTo>
                <a:lnTo>
                  <a:pt x="951" y="93"/>
                </a:lnTo>
                <a:lnTo>
                  <a:pt x="951" y="254"/>
                </a:lnTo>
                <a:lnTo>
                  <a:pt x="951" y="266"/>
                </a:lnTo>
                <a:lnTo>
                  <a:pt x="949" y="275"/>
                </a:lnTo>
                <a:lnTo>
                  <a:pt x="941" y="287"/>
                </a:lnTo>
                <a:lnTo>
                  <a:pt x="936" y="290"/>
                </a:lnTo>
                <a:lnTo>
                  <a:pt x="925" y="290"/>
                </a:lnTo>
                <a:lnTo>
                  <a:pt x="908" y="289"/>
                </a:lnTo>
                <a:lnTo>
                  <a:pt x="908" y="324"/>
                </a:lnTo>
                <a:lnTo>
                  <a:pt x="930" y="325"/>
                </a:lnTo>
                <a:lnTo>
                  <a:pt x="935" y="325"/>
                </a:lnTo>
                <a:lnTo>
                  <a:pt x="948" y="324"/>
                </a:lnTo>
                <a:lnTo>
                  <a:pt x="959" y="320"/>
                </a:lnTo>
                <a:lnTo>
                  <a:pt x="968" y="314"/>
                </a:lnTo>
                <a:lnTo>
                  <a:pt x="976" y="305"/>
                </a:lnTo>
                <a:lnTo>
                  <a:pt x="982" y="294"/>
                </a:lnTo>
                <a:lnTo>
                  <a:pt x="986" y="281"/>
                </a:lnTo>
                <a:lnTo>
                  <a:pt x="988" y="265"/>
                </a:lnTo>
                <a:lnTo>
                  <a:pt x="989" y="248"/>
                </a:lnTo>
                <a:lnTo>
                  <a:pt x="989" y="93"/>
                </a:lnTo>
                <a:close/>
                <a:moveTo>
                  <a:pt x="1088" y="271"/>
                </a:moveTo>
                <a:lnTo>
                  <a:pt x="1059" y="271"/>
                </a:lnTo>
                <a:lnTo>
                  <a:pt x="1059" y="299"/>
                </a:lnTo>
                <a:lnTo>
                  <a:pt x="1088" y="299"/>
                </a:lnTo>
                <a:lnTo>
                  <a:pt x="1088" y="271"/>
                </a:lnTo>
                <a:close/>
                <a:moveTo>
                  <a:pt x="1126" y="271"/>
                </a:moveTo>
                <a:lnTo>
                  <a:pt x="1097" y="271"/>
                </a:lnTo>
                <a:lnTo>
                  <a:pt x="1097" y="299"/>
                </a:lnTo>
                <a:lnTo>
                  <a:pt x="1126" y="299"/>
                </a:lnTo>
                <a:lnTo>
                  <a:pt x="1126" y="271"/>
                </a:lnTo>
                <a:close/>
                <a:moveTo>
                  <a:pt x="1203" y="41"/>
                </a:moveTo>
                <a:lnTo>
                  <a:pt x="1173" y="41"/>
                </a:lnTo>
                <a:lnTo>
                  <a:pt x="1173" y="70"/>
                </a:lnTo>
                <a:lnTo>
                  <a:pt x="1203" y="70"/>
                </a:lnTo>
                <a:lnTo>
                  <a:pt x="1203" y="41"/>
                </a:lnTo>
                <a:close/>
                <a:moveTo>
                  <a:pt x="1241" y="41"/>
                </a:moveTo>
                <a:lnTo>
                  <a:pt x="1212" y="41"/>
                </a:lnTo>
                <a:lnTo>
                  <a:pt x="1212" y="70"/>
                </a:lnTo>
                <a:lnTo>
                  <a:pt x="1241" y="70"/>
                </a:lnTo>
                <a:lnTo>
                  <a:pt x="1241" y="41"/>
                </a:lnTo>
                <a:close/>
                <a:moveTo>
                  <a:pt x="1422" y="29"/>
                </a:moveTo>
                <a:lnTo>
                  <a:pt x="1393" y="29"/>
                </a:lnTo>
                <a:lnTo>
                  <a:pt x="1393" y="58"/>
                </a:lnTo>
                <a:lnTo>
                  <a:pt x="1422" y="58"/>
                </a:lnTo>
                <a:lnTo>
                  <a:pt x="1422" y="29"/>
                </a:lnTo>
                <a:close/>
                <a:moveTo>
                  <a:pt x="1471" y="145"/>
                </a:moveTo>
                <a:lnTo>
                  <a:pt x="1470" y="131"/>
                </a:lnTo>
                <a:lnTo>
                  <a:pt x="1467" y="119"/>
                </a:lnTo>
                <a:lnTo>
                  <a:pt x="1463" y="110"/>
                </a:lnTo>
                <a:lnTo>
                  <a:pt x="1456" y="102"/>
                </a:lnTo>
                <a:lnTo>
                  <a:pt x="1448" y="97"/>
                </a:lnTo>
                <a:lnTo>
                  <a:pt x="1439" y="93"/>
                </a:lnTo>
                <a:lnTo>
                  <a:pt x="1428" y="90"/>
                </a:lnTo>
                <a:lnTo>
                  <a:pt x="1416" y="90"/>
                </a:lnTo>
                <a:lnTo>
                  <a:pt x="1407" y="90"/>
                </a:lnTo>
                <a:lnTo>
                  <a:pt x="1395" y="90"/>
                </a:lnTo>
                <a:lnTo>
                  <a:pt x="1368" y="94"/>
                </a:lnTo>
                <a:lnTo>
                  <a:pt x="1356" y="97"/>
                </a:lnTo>
                <a:lnTo>
                  <a:pt x="1341" y="100"/>
                </a:lnTo>
                <a:lnTo>
                  <a:pt x="1343" y="129"/>
                </a:lnTo>
                <a:lnTo>
                  <a:pt x="1387" y="125"/>
                </a:lnTo>
                <a:lnTo>
                  <a:pt x="1409" y="124"/>
                </a:lnTo>
                <a:lnTo>
                  <a:pt x="1426" y="124"/>
                </a:lnTo>
                <a:lnTo>
                  <a:pt x="1433" y="131"/>
                </a:lnTo>
                <a:lnTo>
                  <a:pt x="1433" y="216"/>
                </a:lnTo>
                <a:lnTo>
                  <a:pt x="1281" y="216"/>
                </a:lnTo>
                <a:lnTo>
                  <a:pt x="1281" y="92"/>
                </a:lnTo>
                <a:lnTo>
                  <a:pt x="1243" y="92"/>
                </a:lnTo>
                <a:lnTo>
                  <a:pt x="1243" y="216"/>
                </a:lnTo>
                <a:lnTo>
                  <a:pt x="1164" y="216"/>
                </a:lnTo>
                <a:lnTo>
                  <a:pt x="1164" y="92"/>
                </a:lnTo>
                <a:lnTo>
                  <a:pt x="1126" y="92"/>
                </a:lnTo>
                <a:lnTo>
                  <a:pt x="1126" y="216"/>
                </a:lnTo>
                <a:lnTo>
                  <a:pt x="1064" y="216"/>
                </a:lnTo>
                <a:lnTo>
                  <a:pt x="1064" y="29"/>
                </a:lnTo>
                <a:lnTo>
                  <a:pt x="1025" y="29"/>
                </a:lnTo>
                <a:lnTo>
                  <a:pt x="1025" y="251"/>
                </a:lnTo>
                <a:lnTo>
                  <a:pt x="1471" y="251"/>
                </a:lnTo>
                <a:lnTo>
                  <a:pt x="1471" y="145"/>
                </a:lnTo>
                <a:close/>
                <a:moveTo>
                  <a:pt x="1647" y="30"/>
                </a:moveTo>
                <a:lnTo>
                  <a:pt x="1609" y="30"/>
                </a:lnTo>
                <a:lnTo>
                  <a:pt x="1609" y="70"/>
                </a:lnTo>
                <a:lnTo>
                  <a:pt x="1609" y="216"/>
                </a:lnTo>
                <a:lnTo>
                  <a:pt x="1567" y="216"/>
                </a:lnTo>
                <a:lnTo>
                  <a:pt x="1567" y="70"/>
                </a:lnTo>
                <a:lnTo>
                  <a:pt x="1529" y="70"/>
                </a:lnTo>
                <a:lnTo>
                  <a:pt x="1529" y="216"/>
                </a:lnTo>
                <a:lnTo>
                  <a:pt x="1491" y="216"/>
                </a:lnTo>
                <a:lnTo>
                  <a:pt x="1491" y="252"/>
                </a:lnTo>
                <a:lnTo>
                  <a:pt x="1647" y="252"/>
                </a:lnTo>
                <a:lnTo>
                  <a:pt x="1647" y="216"/>
                </a:lnTo>
                <a:lnTo>
                  <a:pt x="1647" y="70"/>
                </a:lnTo>
                <a:lnTo>
                  <a:pt x="1647" y="30"/>
                </a:lnTo>
                <a:close/>
                <a:moveTo>
                  <a:pt x="1724" y="29"/>
                </a:moveTo>
                <a:lnTo>
                  <a:pt x="1686" y="29"/>
                </a:lnTo>
                <a:lnTo>
                  <a:pt x="1686" y="251"/>
                </a:lnTo>
                <a:lnTo>
                  <a:pt x="1724" y="251"/>
                </a:lnTo>
                <a:lnTo>
                  <a:pt x="1724" y="29"/>
                </a:lnTo>
                <a:close/>
                <a:moveTo>
                  <a:pt x="1896" y="41"/>
                </a:moveTo>
                <a:lnTo>
                  <a:pt x="1867" y="41"/>
                </a:lnTo>
                <a:lnTo>
                  <a:pt x="1867" y="70"/>
                </a:lnTo>
                <a:lnTo>
                  <a:pt x="1896" y="70"/>
                </a:lnTo>
                <a:lnTo>
                  <a:pt x="1896" y="41"/>
                </a:lnTo>
                <a:close/>
                <a:moveTo>
                  <a:pt x="2118" y="172"/>
                </a:moveTo>
                <a:lnTo>
                  <a:pt x="2117" y="152"/>
                </a:lnTo>
                <a:lnTo>
                  <a:pt x="2114" y="135"/>
                </a:lnTo>
                <a:lnTo>
                  <a:pt x="2110" y="125"/>
                </a:lnTo>
                <a:lnTo>
                  <a:pt x="2108" y="121"/>
                </a:lnTo>
                <a:lnTo>
                  <a:pt x="2100" y="109"/>
                </a:lnTo>
                <a:lnTo>
                  <a:pt x="2089" y="101"/>
                </a:lnTo>
                <a:lnTo>
                  <a:pt x="2080" y="96"/>
                </a:lnTo>
                <a:lnTo>
                  <a:pt x="2080" y="154"/>
                </a:lnTo>
                <a:lnTo>
                  <a:pt x="2080" y="216"/>
                </a:lnTo>
                <a:lnTo>
                  <a:pt x="2016" y="216"/>
                </a:lnTo>
                <a:lnTo>
                  <a:pt x="2015" y="211"/>
                </a:lnTo>
                <a:lnTo>
                  <a:pt x="2014" y="205"/>
                </a:lnTo>
                <a:lnTo>
                  <a:pt x="2014" y="199"/>
                </a:lnTo>
                <a:lnTo>
                  <a:pt x="2013" y="191"/>
                </a:lnTo>
                <a:lnTo>
                  <a:pt x="2012" y="184"/>
                </a:lnTo>
                <a:lnTo>
                  <a:pt x="2012" y="172"/>
                </a:lnTo>
                <a:lnTo>
                  <a:pt x="2013" y="163"/>
                </a:lnTo>
                <a:lnTo>
                  <a:pt x="2013" y="151"/>
                </a:lnTo>
                <a:lnTo>
                  <a:pt x="2014" y="139"/>
                </a:lnTo>
                <a:lnTo>
                  <a:pt x="2016" y="127"/>
                </a:lnTo>
                <a:lnTo>
                  <a:pt x="2023" y="125"/>
                </a:lnTo>
                <a:lnTo>
                  <a:pt x="2030" y="125"/>
                </a:lnTo>
                <a:lnTo>
                  <a:pt x="2052" y="125"/>
                </a:lnTo>
                <a:lnTo>
                  <a:pt x="2063" y="128"/>
                </a:lnTo>
                <a:lnTo>
                  <a:pt x="2070" y="135"/>
                </a:lnTo>
                <a:lnTo>
                  <a:pt x="2076" y="143"/>
                </a:lnTo>
                <a:lnTo>
                  <a:pt x="2080" y="154"/>
                </a:lnTo>
                <a:lnTo>
                  <a:pt x="2080" y="96"/>
                </a:lnTo>
                <a:lnTo>
                  <a:pt x="2076" y="94"/>
                </a:lnTo>
                <a:lnTo>
                  <a:pt x="2060" y="91"/>
                </a:lnTo>
                <a:lnTo>
                  <a:pt x="2041" y="89"/>
                </a:lnTo>
                <a:lnTo>
                  <a:pt x="2030" y="89"/>
                </a:lnTo>
                <a:lnTo>
                  <a:pt x="2019" y="90"/>
                </a:lnTo>
                <a:lnTo>
                  <a:pt x="2000" y="94"/>
                </a:lnTo>
                <a:lnTo>
                  <a:pt x="1992" y="96"/>
                </a:lnTo>
                <a:lnTo>
                  <a:pt x="1984" y="100"/>
                </a:lnTo>
                <a:lnTo>
                  <a:pt x="1981" y="111"/>
                </a:lnTo>
                <a:lnTo>
                  <a:pt x="1979" y="122"/>
                </a:lnTo>
                <a:lnTo>
                  <a:pt x="1977" y="135"/>
                </a:lnTo>
                <a:lnTo>
                  <a:pt x="1975" y="148"/>
                </a:lnTo>
                <a:lnTo>
                  <a:pt x="1974" y="161"/>
                </a:lnTo>
                <a:lnTo>
                  <a:pt x="1975" y="184"/>
                </a:lnTo>
                <a:lnTo>
                  <a:pt x="1975" y="194"/>
                </a:lnTo>
                <a:lnTo>
                  <a:pt x="1976" y="205"/>
                </a:lnTo>
                <a:lnTo>
                  <a:pt x="1978" y="216"/>
                </a:lnTo>
                <a:lnTo>
                  <a:pt x="1930" y="216"/>
                </a:lnTo>
                <a:lnTo>
                  <a:pt x="1899" y="216"/>
                </a:lnTo>
                <a:lnTo>
                  <a:pt x="1899" y="93"/>
                </a:lnTo>
                <a:lnTo>
                  <a:pt x="1861" y="93"/>
                </a:lnTo>
                <a:lnTo>
                  <a:pt x="1861" y="266"/>
                </a:lnTo>
                <a:lnTo>
                  <a:pt x="1859" y="275"/>
                </a:lnTo>
                <a:lnTo>
                  <a:pt x="1852" y="287"/>
                </a:lnTo>
                <a:lnTo>
                  <a:pt x="1846" y="290"/>
                </a:lnTo>
                <a:lnTo>
                  <a:pt x="1835" y="290"/>
                </a:lnTo>
                <a:lnTo>
                  <a:pt x="1830" y="290"/>
                </a:lnTo>
                <a:lnTo>
                  <a:pt x="1818" y="289"/>
                </a:lnTo>
                <a:lnTo>
                  <a:pt x="1818" y="324"/>
                </a:lnTo>
                <a:lnTo>
                  <a:pt x="1830" y="325"/>
                </a:lnTo>
                <a:lnTo>
                  <a:pt x="1835" y="325"/>
                </a:lnTo>
                <a:lnTo>
                  <a:pt x="1840" y="325"/>
                </a:lnTo>
                <a:lnTo>
                  <a:pt x="1845" y="325"/>
                </a:lnTo>
                <a:lnTo>
                  <a:pt x="1858" y="324"/>
                </a:lnTo>
                <a:lnTo>
                  <a:pt x="1869" y="320"/>
                </a:lnTo>
                <a:lnTo>
                  <a:pt x="1878" y="314"/>
                </a:lnTo>
                <a:lnTo>
                  <a:pt x="1886" y="305"/>
                </a:lnTo>
                <a:lnTo>
                  <a:pt x="1892" y="294"/>
                </a:lnTo>
                <a:lnTo>
                  <a:pt x="1893" y="290"/>
                </a:lnTo>
                <a:lnTo>
                  <a:pt x="1896" y="282"/>
                </a:lnTo>
                <a:lnTo>
                  <a:pt x="1898" y="268"/>
                </a:lnTo>
                <a:lnTo>
                  <a:pt x="1899" y="251"/>
                </a:lnTo>
                <a:lnTo>
                  <a:pt x="1930" y="251"/>
                </a:lnTo>
                <a:lnTo>
                  <a:pt x="2118" y="251"/>
                </a:lnTo>
                <a:lnTo>
                  <a:pt x="2118" y="216"/>
                </a:lnTo>
                <a:lnTo>
                  <a:pt x="2118" y="172"/>
                </a:lnTo>
                <a:close/>
                <a:moveTo>
                  <a:pt x="2218" y="93"/>
                </a:moveTo>
                <a:lnTo>
                  <a:pt x="2180" y="93"/>
                </a:lnTo>
                <a:lnTo>
                  <a:pt x="2180" y="254"/>
                </a:lnTo>
                <a:lnTo>
                  <a:pt x="2180" y="266"/>
                </a:lnTo>
                <a:lnTo>
                  <a:pt x="2178" y="275"/>
                </a:lnTo>
                <a:lnTo>
                  <a:pt x="2170" y="287"/>
                </a:lnTo>
                <a:lnTo>
                  <a:pt x="2165" y="290"/>
                </a:lnTo>
                <a:lnTo>
                  <a:pt x="2154" y="290"/>
                </a:lnTo>
                <a:lnTo>
                  <a:pt x="2137" y="289"/>
                </a:lnTo>
                <a:lnTo>
                  <a:pt x="2137" y="324"/>
                </a:lnTo>
                <a:lnTo>
                  <a:pt x="2159" y="325"/>
                </a:lnTo>
                <a:lnTo>
                  <a:pt x="2164" y="325"/>
                </a:lnTo>
                <a:lnTo>
                  <a:pt x="2176" y="324"/>
                </a:lnTo>
                <a:lnTo>
                  <a:pt x="2188" y="320"/>
                </a:lnTo>
                <a:lnTo>
                  <a:pt x="2197" y="314"/>
                </a:lnTo>
                <a:lnTo>
                  <a:pt x="2205" y="305"/>
                </a:lnTo>
                <a:lnTo>
                  <a:pt x="2210" y="294"/>
                </a:lnTo>
                <a:lnTo>
                  <a:pt x="2215" y="281"/>
                </a:lnTo>
                <a:lnTo>
                  <a:pt x="2217" y="265"/>
                </a:lnTo>
                <a:lnTo>
                  <a:pt x="2218" y="248"/>
                </a:lnTo>
                <a:lnTo>
                  <a:pt x="2218" y="93"/>
                </a:lnTo>
                <a:close/>
                <a:moveTo>
                  <a:pt x="2376" y="41"/>
                </a:moveTo>
                <a:lnTo>
                  <a:pt x="2347" y="41"/>
                </a:lnTo>
                <a:lnTo>
                  <a:pt x="2347" y="70"/>
                </a:lnTo>
                <a:lnTo>
                  <a:pt x="2376" y="70"/>
                </a:lnTo>
                <a:lnTo>
                  <a:pt x="2376" y="41"/>
                </a:lnTo>
                <a:close/>
                <a:moveTo>
                  <a:pt x="2415" y="41"/>
                </a:moveTo>
                <a:lnTo>
                  <a:pt x="2386" y="41"/>
                </a:lnTo>
                <a:lnTo>
                  <a:pt x="2386" y="70"/>
                </a:lnTo>
                <a:lnTo>
                  <a:pt x="2415" y="70"/>
                </a:lnTo>
                <a:lnTo>
                  <a:pt x="2415" y="41"/>
                </a:lnTo>
                <a:close/>
                <a:moveTo>
                  <a:pt x="2651" y="180"/>
                </a:moveTo>
                <a:lnTo>
                  <a:pt x="2650" y="166"/>
                </a:lnTo>
                <a:lnTo>
                  <a:pt x="2648" y="153"/>
                </a:lnTo>
                <a:lnTo>
                  <a:pt x="2644" y="141"/>
                </a:lnTo>
                <a:lnTo>
                  <a:pt x="2638" y="130"/>
                </a:lnTo>
                <a:lnTo>
                  <a:pt x="2630" y="121"/>
                </a:lnTo>
                <a:lnTo>
                  <a:pt x="2620" y="114"/>
                </a:lnTo>
                <a:lnTo>
                  <a:pt x="2608" y="109"/>
                </a:lnTo>
                <a:lnTo>
                  <a:pt x="2594" y="108"/>
                </a:lnTo>
                <a:lnTo>
                  <a:pt x="2534" y="108"/>
                </a:lnTo>
                <a:lnTo>
                  <a:pt x="2540" y="97"/>
                </a:lnTo>
                <a:lnTo>
                  <a:pt x="2546" y="85"/>
                </a:lnTo>
                <a:lnTo>
                  <a:pt x="2553" y="73"/>
                </a:lnTo>
                <a:lnTo>
                  <a:pt x="2561" y="60"/>
                </a:lnTo>
                <a:lnTo>
                  <a:pt x="2571" y="45"/>
                </a:lnTo>
                <a:lnTo>
                  <a:pt x="2574" y="41"/>
                </a:lnTo>
                <a:lnTo>
                  <a:pt x="2545" y="24"/>
                </a:lnTo>
                <a:lnTo>
                  <a:pt x="2535" y="36"/>
                </a:lnTo>
                <a:lnTo>
                  <a:pt x="2528" y="45"/>
                </a:lnTo>
                <a:lnTo>
                  <a:pt x="2514" y="65"/>
                </a:lnTo>
                <a:lnTo>
                  <a:pt x="2509" y="74"/>
                </a:lnTo>
                <a:lnTo>
                  <a:pt x="2487" y="116"/>
                </a:lnTo>
                <a:lnTo>
                  <a:pt x="2507" y="143"/>
                </a:lnTo>
                <a:lnTo>
                  <a:pt x="2590" y="143"/>
                </a:lnTo>
                <a:lnTo>
                  <a:pt x="2598" y="143"/>
                </a:lnTo>
                <a:lnTo>
                  <a:pt x="2603" y="147"/>
                </a:lnTo>
                <a:lnTo>
                  <a:pt x="2611" y="161"/>
                </a:lnTo>
                <a:lnTo>
                  <a:pt x="2613" y="169"/>
                </a:lnTo>
                <a:lnTo>
                  <a:pt x="2613" y="216"/>
                </a:lnTo>
                <a:lnTo>
                  <a:pt x="2457" y="216"/>
                </a:lnTo>
                <a:lnTo>
                  <a:pt x="2457" y="125"/>
                </a:lnTo>
                <a:lnTo>
                  <a:pt x="2457" y="94"/>
                </a:lnTo>
                <a:lnTo>
                  <a:pt x="2445" y="92"/>
                </a:lnTo>
                <a:lnTo>
                  <a:pt x="2434" y="91"/>
                </a:lnTo>
                <a:lnTo>
                  <a:pt x="2419" y="91"/>
                </a:lnTo>
                <a:lnTo>
                  <a:pt x="2419" y="126"/>
                </a:lnTo>
                <a:lnTo>
                  <a:pt x="2419" y="216"/>
                </a:lnTo>
                <a:lnTo>
                  <a:pt x="2376" y="216"/>
                </a:lnTo>
                <a:lnTo>
                  <a:pt x="2367" y="215"/>
                </a:lnTo>
                <a:lnTo>
                  <a:pt x="2355" y="209"/>
                </a:lnTo>
                <a:lnTo>
                  <a:pt x="2350" y="205"/>
                </a:lnTo>
                <a:lnTo>
                  <a:pt x="2348" y="198"/>
                </a:lnTo>
                <a:lnTo>
                  <a:pt x="2345" y="192"/>
                </a:lnTo>
                <a:lnTo>
                  <a:pt x="2344" y="182"/>
                </a:lnTo>
                <a:lnTo>
                  <a:pt x="2344" y="158"/>
                </a:lnTo>
                <a:lnTo>
                  <a:pt x="2345" y="149"/>
                </a:lnTo>
                <a:lnTo>
                  <a:pt x="2350" y="137"/>
                </a:lnTo>
                <a:lnTo>
                  <a:pt x="2354" y="132"/>
                </a:lnTo>
                <a:lnTo>
                  <a:pt x="2366" y="127"/>
                </a:lnTo>
                <a:lnTo>
                  <a:pt x="2375" y="125"/>
                </a:lnTo>
                <a:lnTo>
                  <a:pt x="2396" y="125"/>
                </a:lnTo>
                <a:lnTo>
                  <a:pt x="2407" y="126"/>
                </a:lnTo>
                <a:lnTo>
                  <a:pt x="2419" y="126"/>
                </a:lnTo>
                <a:lnTo>
                  <a:pt x="2419" y="91"/>
                </a:lnTo>
                <a:lnTo>
                  <a:pt x="2403" y="90"/>
                </a:lnTo>
                <a:lnTo>
                  <a:pt x="2391" y="89"/>
                </a:lnTo>
                <a:lnTo>
                  <a:pt x="2382" y="89"/>
                </a:lnTo>
                <a:lnTo>
                  <a:pt x="2369" y="90"/>
                </a:lnTo>
                <a:lnTo>
                  <a:pt x="2357" y="91"/>
                </a:lnTo>
                <a:lnTo>
                  <a:pt x="2347" y="94"/>
                </a:lnTo>
                <a:lnTo>
                  <a:pt x="2337" y="97"/>
                </a:lnTo>
                <a:lnTo>
                  <a:pt x="2326" y="103"/>
                </a:lnTo>
                <a:lnTo>
                  <a:pt x="2318" y="111"/>
                </a:lnTo>
                <a:lnTo>
                  <a:pt x="2313" y="124"/>
                </a:lnTo>
                <a:lnTo>
                  <a:pt x="2310" y="133"/>
                </a:lnTo>
                <a:lnTo>
                  <a:pt x="2307" y="144"/>
                </a:lnTo>
                <a:lnTo>
                  <a:pt x="2306" y="156"/>
                </a:lnTo>
                <a:lnTo>
                  <a:pt x="2306" y="170"/>
                </a:lnTo>
                <a:lnTo>
                  <a:pt x="2306" y="185"/>
                </a:lnTo>
                <a:lnTo>
                  <a:pt x="2307" y="198"/>
                </a:lnTo>
                <a:lnTo>
                  <a:pt x="2310" y="208"/>
                </a:lnTo>
                <a:lnTo>
                  <a:pt x="2313" y="218"/>
                </a:lnTo>
                <a:lnTo>
                  <a:pt x="2318" y="230"/>
                </a:lnTo>
                <a:lnTo>
                  <a:pt x="2327" y="239"/>
                </a:lnTo>
                <a:lnTo>
                  <a:pt x="2338" y="244"/>
                </a:lnTo>
                <a:lnTo>
                  <a:pt x="2347" y="247"/>
                </a:lnTo>
                <a:lnTo>
                  <a:pt x="2358" y="249"/>
                </a:lnTo>
                <a:lnTo>
                  <a:pt x="2370" y="251"/>
                </a:lnTo>
                <a:lnTo>
                  <a:pt x="2384" y="251"/>
                </a:lnTo>
                <a:lnTo>
                  <a:pt x="2651" y="251"/>
                </a:lnTo>
                <a:lnTo>
                  <a:pt x="2651" y="216"/>
                </a:lnTo>
                <a:lnTo>
                  <a:pt x="2651" y="180"/>
                </a:lnTo>
                <a:close/>
                <a:moveTo>
                  <a:pt x="2913" y="41"/>
                </a:moveTo>
                <a:lnTo>
                  <a:pt x="2883" y="41"/>
                </a:lnTo>
                <a:lnTo>
                  <a:pt x="2883" y="70"/>
                </a:lnTo>
                <a:lnTo>
                  <a:pt x="2913" y="70"/>
                </a:lnTo>
                <a:lnTo>
                  <a:pt x="2913" y="41"/>
                </a:lnTo>
                <a:close/>
                <a:moveTo>
                  <a:pt x="2942" y="0"/>
                </a:moveTo>
                <a:lnTo>
                  <a:pt x="2913" y="0"/>
                </a:lnTo>
                <a:lnTo>
                  <a:pt x="2913" y="29"/>
                </a:lnTo>
                <a:lnTo>
                  <a:pt x="2942" y="29"/>
                </a:lnTo>
                <a:lnTo>
                  <a:pt x="2942" y="0"/>
                </a:lnTo>
                <a:close/>
                <a:moveTo>
                  <a:pt x="2971" y="41"/>
                </a:moveTo>
                <a:lnTo>
                  <a:pt x="2942" y="41"/>
                </a:lnTo>
                <a:lnTo>
                  <a:pt x="2942" y="70"/>
                </a:lnTo>
                <a:lnTo>
                  <a:pt x="2971" y="70"/>
                </a:lnTo>
                <a:lnTo>
                  <a:pt x="2971" y="41"/>
                </a:lnTo>
                <a:close/>
                <a:moveTo>
                  <a:pt x="3022" y="157"/>
                </a:moveTo>
                <a:lnTo>
                  <a:pt x="3021" y="146"/>
                </a:lnTo>
                <a:lnTo>
                  <a:pt x="3019" y="134"/>
                </a:lnTo>
                <a:lnTo>
                  <a:pt x="3015" y="109"/>
                </a:lnTo>
                <a:lnTo>
                  <a:pt x="3011" y="92"/>
                </a:lnTo>
                <a:lnTo>
                  <a:pt x="2978" y="94"/>
                </a:lnTo>
                <a:lnTo>
                  <a:pt x="2982" y="137"/>
                </a:lnTo>
                <a:lnTo>
                  <a:pt x="2983" y="152"/>
                </a:lnTo>
                <a:lnTo>
                  <a:pt x="2983" y="164"/>
                </a:lnTo>
                <a:lnTo>
                  <a:pt x="2983" y="216"/>
                </a:lnTo>
                <a:lnTo>
                  <a:pt x="2957" y="216"/>
                </a:lnTo>
                <a:lnTo>
                  <a:pt x="2953" y="215"/>
                </a:lnTo>
                <a:lnTo>
                  <a:pt x="2945" y="212"/>
                </a:lnTo>
                <a:lnTo>
                  <a:pt x="2943" y="210"/>
                </a:lnTo>
                <a:lnTo>
                  <a:pt x="2946" y="202"/>
                </a:lnTo>
                <a:lnTo>
                  <a:pt x="2947" y="192"/>
                </a:lnTo>
                <a:lnTo>
                  <a:pt x="2947" y="107"/>
                </a:lnTo>
                <a:lnTo>
                  <a:pt x="2908" y="107"/>
                </a:lnTo>
                <a:lnTo>
                  <a:pt x="2908" y="193"/>
                </a:lnTo>
                <a:lnTo>
                  <a:pt x="2906" y="201"/>
                </a:lnTo>
                <a:lnTo>
                  <a:pt x="2900" y="213"/>
                </a:lnTo>
                <a:lnTo>
                  <a:pt x="2895" y="216"/>
                </a:lnTo>
                <a:lnTo>
                  <a:pt x="2869" y="216"/>
                </a:lnTo>
                <a:lnTo>
                  <a:pt x="2869" y="107"/>
                </a:lnTo>
                <a:lnTo>
                  <a:pt x="2830" y="107"/>
                </a:lnTo>
                <a:lnTo>
                  <a:pt x="2830" y="216"/>
                </a:lnTo>
                <a:lnTo>
                  <a:pt x="2752" y="216"/>
                </a:lnTo>
                <a:lnTo>
                  <a:pt x="2752" y="93"/>
                </a:lnTo>
                <a:lnTo>
                  <a:pt x="2714" y="93"/>
                </a:lnTo>
                <a:lnTo>
                  <a:pt x="2714" y="266"/>
                </a:lnTo>
                <a:lnTo>
                  <a:pt x="2712" y="275"/>
                </a:lnTo>
                <a:lnTo>
                  <a:pt x="2704" y="287"/>
                </a:lnTo>
                <a:lnTo>
                  <a:pt x="2699" y="290"/>
                </a:lnTo>
                <a:lnTo>
                  <a:pt x="2683" y="290"/>
                </a:lnTo>
                <a:lnTo>
                  <a:pt x="2671" y="289"/>
                </a:lnTo>
                <a:lnTo>
                  <a:pt x="2671" y="324"/>
                </a:lnTo>
                <a:lnTo>
                  <a:pt x="2693" y="325"/>
                </a:lnTo>
                <a:lnTo>
                  <a:pt x="2698" y="325"/>
                </a:lnTo>
                <a:lnTo>
                  <a:pt x="2711" y="324"/>
                </a:lnTo>
                <a:lnTo>
                  <a:pt x="2722" y="320"/>
                </a:lnTo>
                <a:lnTo>
                  <a:pt x="2731" y="314"/>
                </a:lnTo>
                <a:lnTo>
                  <a:pt x="2739" y="305"/>
                </a:lnTo>
                <a:lnTo>
                  <a:pt x="2744" y="294"/>
                </a:lnTo>
                <a:lnTo>
                  <a:pt x="2748" y="282"/>
                </a:lnTo>
                <a:lnTo>
                  <a:pt x="2751" y="268"/>
                </a:lnTo>
                <a:lnTo>
                  <a:pt x="2752" y="251"/>
                </a:lnTo>
                <a:lnTo>
                  <a:pt x="2909" y="251"/>
                </a:lnTo>
                <a:lnTo>
                  <a:pt x="2919" y="248"/>
                </a:lnTo>
                <a:lnTo>
                  <a:pt x="2927" y="241"/>
                </a:lnTo>
                <a:lnTo>
                  <a:pt x="2936" y="248"/>
                </a:lnTo>
                <a:lnTo>
                  <a:pt x="2947" y="251"/>
                </a:lnTo>
                <a:lnTo>
                  <a:pt x="3022" y="251"/>
                </a:lnTo>
                <a:lnTo>
                  <a:pt x="3022" y="157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ar-SA"/>
          </a:p>
        </xdr:txBody>
      </xdr:sp>
    </xdr:grpSp>
    <xdr:clientData/>
  </xdr:twoCellAnchor>
  <xdr:twoCellAnchor editAs="oneCell">
    <xdr:from>
      <xdr:col>7</xdr:col>
      <xdr:colOff>774699</xdr:colOff>
      <xdr:row>48</xdr:row>
      <xdr:rowOff>15241</xdr:rowOff>
    </xdr:from>
    <xdr:to>
      <xdr:col>8</xdr:col>
      <xdr:colOff>731519</xdr:colOff>
      <xdr:row>54</xdr:row>
      <xdr:rowOff>114301</xdr:rowOff>
    </xdr:to>
    <xdr:pic>
      <xdr:nvPicPr>
        <xdr:cNvPr id="15" name="image6.png">
          <a:extLst>
            <a:ext uri="{FF2B5EF4-FFF2-40B4-BE49-F238E27FC236}">
              <a16:creationId xmlns:a16="http://schemas.microsoft.com/office/drawing/2014/main" id="{F3027965-D316-4069-9554-EBA98F546587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81583321" y="13693141"/>
          <a:ext cx="1391920" cy="1562100"/>
        </a:xfrm>
        <a:prstGeom prst="rect">
          <a:avLst/>
        </a:prstGeom>
      </xdr:spPr>
    </xdr:pic>
    <xdr:clientData/>
  </xdr:twoCellAnchor>
  <xdr:twoCellAnchor editAs="oneCell">
    <xdr:from>
      <xdr:col>3</xdr:col>
      <xdr:colOff>914399</xdr:colOff>
      <xdr:row>44</xdr:row>
      <xdr:rowOff>220980</xdr:rowOff>
    </xdr:from>
    <xdr:to>
      <xdr:col>5</xdr:col>
      <xdr:colOff>1396999</xdr:colOff>
      <xdr:row>54</xdr:row>
      <xdr:rowOff>0</xdr:rowOff>
    </xdr:to>
    <xdr:pic>
      <xdr:nvPicPr>
        <xdr:cNvPr id="16" name="صورة 15">
          <a:extLst>
            <a:ext uri="{FF2B5EF4-FFF2-40B4-BE49-F238E27FC236}">
              <a16:creationId xmlns:a16="http://schemas.microsoft.com/office/drawing/2014/main" id="{337FC889-24AE-4C80-B337-45E11F821F1F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72519">
          <a:off x="11026444801" y="13035280"/>
          <a:ext cx="2260600" cy="2319020"/>
        </a:xfrm>
        <a:prstGeom prst="rect">
          <a:avLst/>
        </a:prstGeom>
      </xdr:spPr>
    </xdr:pic>
    <xdr:clientData/>
  </xdr:twoCellAnchor>
  <xdr:twoCellAnchor editAs="oneCell">
    <xdr:from>
      <xdr:col>1</xdr:col>
      <xdr:colOff>596900</xdr:colOff>
      <xdr:row>0</xdr:row>
      <xdr:rowOff>0</xdr:rowOff>
    </xdr:from>
    <xdr:to>
      <xdr:col>9</xdr:col>
      <xdr:colOff>741680</xdr:colOff>
      <xdr:row>11</xdr:row>
      <xdr:rowOff>121920</xdr:rowOff>
    </xdr:to>
    <xdr:pic>
      <xdr:nvPicPr>
        <xdr:cNvPr id="18" name="صورة 17">
          <a:extLst>
            <a:ext uri="{FF2B5EF4-FFF2-40B4-BE49-F238E27FC236}">
              <a16:creationId xmlns:a16="http://schemas.microsoft.com/office/drawing/2014/main" id="{BCC25AB8-C57C-4041-AAA2-12A3367DC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6648020" y="0"/>
          <a:ext cx="13289280" cy="207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101600</xdr:colOff>
      <xdr:row>11</xdr:row>
      <xdr:rowOff>139700</xdr:rowOff>
    </xdr:from>
    <xdr:to>
      <xdr:col>11</xdr:col>
      <xdr:colOff>147319</xdr:colOff>
      <xdr:row>12</xdr:row>
      <xdr:rowOff>7619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9DDE893B-9E43-9804-C349-1EB9A774B4FF}"/>
            </a:ext>
          </a:extLst>
        </xdr:cNvPr>
        <xdr:cNvSpPr txBox="1"/>
      </xdr:nvSpPr>
      <xdr:spPr>
        <a:xfrm>
          <a:off x="11020518981" y="2095500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r" rtl="1"/>
          <a:endParaRPr lang="ar-SA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5287-7866-424E-931B-BDE84CE5B4D4}">
  <dimension ref="A1:F46"/>
  <sheetViews>
    <sheetView rightToLeft="1" topLeftCell="A22" zoomScaleNormal="100" workbookViewId="0">
      <selection activeCell="A25" sqref="A25:B28"/>
    </sheetView>
  </sheetViews>
  <sheetFormatPr defaultRowHeight="15" x14ac:dyDescent="0.25"/>
  <cols>
    <col min="1" max="1" width="29.85546875" customWidth="1"/>
    <col min="2" max="2" width="38.7109375" customWidth="1"/>
    <col min="3" max="4" width="11.42578125" customWidth="1"/>
    <col min="5" max="5" width="38.28515625" customWidth="1"/>
    <col min="6" max="6" width="26.42578125" customWidth="1"/>
  </cols>
  <sheetData>
    <row r="1" spans="1:6" ht="23.25" x14ac:dyDescent="0.35">
      <c r="A1" s="3"/>
      <c r="B1" s="3"/>
      <c r="C1" s="3"/>
      <c r="D1" s="3"/>
      <c r="E1" s="3"/>
      <c r="F1" s="3"/>
    </row>
    <row r="2" spans="1:6" ht="23.25" x14ac:dyDescent="0.35">
      <c r="A2" s="3"/>
      <c r="B2" s="3"/>
      <c r="C2" s="3"/>
      <c r="D2" s="3"/>
      <c r="E2" s="3"/>
      <c r="F2" s="3"/>
    </row>
    <row r="3" spans="1:6" ht="23.25" x14ac:dyDescent="0.35">
      <c r="A3" s="3"/>
      <c r="B3" s="3"/>
      <c r="C3" s="3"/>
      <c r="D3" s="3"/>
      <c r="E3" s="3"/>
      <c r="F3" s="3"/>
    </row>
    <row r="4" spans="1:6" ht="23.25" x14ac:dyDescent="0.35">
      <c r="A4" s="3"/>
      <c r="B4" s="3"/>
      <c r="C4" s="3"/>
      <c r="D4" s="3"/>
      <c r="E4" s="3"/>
      <c r="F4" s="3"/>
    </row>
    <row r="5" spans="1:6" ht="23.25" x14ac:dyDescent="0.35">
      <c r="A5" s="3"/>
      <c r="B5" s="3"/>
      <c r="C5" s="3"/>
      <c r="D5" s="3"/>
      <c r="E5" s="3"/>
      <c r="F5" s="3"/>
    </row>
    <row r="6" spans="1:6" ht="23.25" x14ac:dyDescent="0.35">
      <c r="A6" s="3"/>
      <c r="B6" s="3"/>
      <c r="C6" s="3"/>
      <c r="D6" s="3"/>
      <c r="E6" s="3"/>
      <c r="F6" s="3"/>
    </row>
    <row r="7" spans="1:6" ht="23.25" x14ac:dyDescent="0.25">
      <c r="A7" s="51" t="s">
        <v>0</v>
      </c>
      <c r="B7" s="51"/>
      <c r="C7" s="51"/>
      <c r="D7" s="51"/>
      <c r="E7" s="51"/>
      <c r="F7" s="51"/>
    </row>
    <row r="8" spans="1:6" ht="23.25" x14ac:dyDescent="0.35">
      <c r="A8" s="2"/>
      <c r="B8" s="3"/>
      <c r="C8" s="3"/>
      <c r="D8" s="3"/>
      <c r="E8" s="4"/>
      <c r="F8" s="3"/>
    </row>
    <row r="9" spans="1:6" ht="23.25" x14ac:dyDescent="0.35">
      <c r="A9" s="2"/>
      <c r="B9" s="3"/>
      <c r="C9" s="3"/>
      <c r="D9" s="3"/>
      <c r="E9" s="3"/>
      <c r="F9" s="3"/>
    </row>
    <row r="10" spans="1:6" ht="23.25" x14ac:dyDescent="0.35">
      <c r="A10" s="2" t="s">
        <v>1</v>
      </c>
      <c r="B10" s="3"/>
      <c r="C10" s="3"/>
      <c r="D10" s="3"/>
      <c r="E10" s="3"/>
      <c r="F10" s="2" t="s">
        <v>2</v>
      </c>
    </row>
    <row r="11" spans="1:6" ht="23.25" x14ac:dyDescent="0.35">
      <c r="A11" s="2" t="s">
        <v>3</v>
      </c>
      <c r="B11" s="3"/>
      <c r="C11" s="3"/>
      <c r="D11" s="3"/>
      <c r="E11" s="5" t="s">
        <v>4</v>
      </c>
      <c r="F11" s="3"/>
    </row>
    <row r="12" spans="1:6" ht="23.25" x14ac:dyDescent="0.35">
      <c r="A12" s="6"/>
      <c r="B12" s="3"/>
      <c r="C12" s="3"/>
      <c r="D12" s="3"/>
      <c r="E12" s="3"/>
      <c r="F12" s="3"/>
    </row>
    <row r="13" spans="1:6" ht="22.5" x14ac:dyDescent="0.25">
      <c r="A13" s="6" t="s">
        <v>5</v>
      </c>
      <c r="B13" s="6"/>
      <c r="C13" s="6"/>
      <c r="D13" s="6"/>
      <c r="E13" s="6"/>
      <c r="F13" s="6"/>
    </row>
    <row r="14" spans="1:6" ht="41.45" customHeight="1" x14ac:dyDescent="0.25">
      <c r="A14" s="7" t="s">
        <v>6</v>
      </c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</row>
    <row r="15" spans="1:6" x14ac:dyDescent="0.25">
      <c r="A15" s="52" t="s">
        <v>12</v>
      </c>
      <c r="B15" s="53" t="s">
        <v>13</v>
      </c>
      <c r="C15" s="56">
        <v>2024</v>
      </c>
      <c r="D15" s="57" t="s">
        <v>14</v>
      </c>
      <c r="E15" s="58" t="s">
        <v>15</v>
      </c>
      <c r="F15" s="57">
        <v>84000</v>
      </c>
    </row>
    <row r="16" spans="1:6" x14ac:dyDescent="0.25">
      <c r="A16" s="52"/>
      <c r="B16" s="54"/>
      <c r="C16" s="56"/>
      <c r="D16" s="57"/>
      <c r="E16" s="58"/>
      <c r="F16" s="57"/>
    </row>
    <row r="17" spans="1:6" ht="22.5" x14ac:dyDescent="0.25">
      <c r="A17" s="52"/>
      <c r="B17" s="54"/>
      <c r="C17" s="56"/>
      <c r="D17" s="57"/>
      <c r="E17" s="58"/>
      <c r="F17" s="8" t="s">
        <v>16</v>
      </c>
    </row>
    <row r="18" spans="1:6" ht="22.5" x14ac:dyDescent="0.25">
      <c r="A18" s="52"/>
      <c r="B18" s="54"/>
      <c r="C18" s="56"/>
      <c r="D18" s="57"/>
      <c r="E18" s="58"/>
      <c r="F18" s="8">
        <f>F15*15%</f>
        <v>12600</v>
      </c>
    </row>
    <row r="19" spans="1:6" ht="22.5" x14ac:dyDescent="0.25">
      <c r="A19" s="52"/>
      <c r="B19" s="54"/>
      <c r="C19" s="56"/>
      <c r="D19" s="57"/>
      <c r="E19" s="58"/>
      <c r="F19" s="8" t="s">
        <v>17</v>
      </c>
    </row>
    <row r="20" spans="1:6" ht="22.5" x14ac:dyDescent="0.25">
      <c r="A20" s="52"/>
      <c r="B20" s="54"/>
      <c r="C20" s="56"/>
      <c r="D20" s="57"/>
      <c r="E20" s="58"/>
      <c r="F20" s="8">
        <v>700</v>
      </c>
    </row>
    <row r="21" spans="1:6" ht="22.5" x14ac:dyDescent="0.25">
      <c r="A21" s="52"/>
      <c r="B21" s="54"/>
      <c r="C21" s="56"/>
      <c r="D21" s="57"/>
      <c r="E21" s="58"/>
      <c r="F21" s="8" t="s">
        <v>18</v>
      </c>
    </row>
    <row r="22" spans="1:6" x14ac:dyDescent="0.25">
      <c r="A22" s="52"/>
      <c r="B22" s="54"/>
      <c r="C22" s="56"/>
      <c r="D22" s="57"/>
      <c r="E22" s="58"/>
      <c r="F22" s="57">
        <f>F15+F18+F20</f>
        <v>97300</v>
      </c>
    </row>
    <row r="23" spans="1:6" x14ac:dyDescent="0.25">
      <c r="A23" s="52"/>
      <c r="B23" s="55"/>
      <c r="C23" s="56"/>
      <c r="D23" s="57"/>
      <c r="E23" s="58"/>
      <c r="F23" s="57"/>
    </row>
    <row r="24" spans="1:6" ht="36" customHeight="1" x14ac:dyDescent="0.25">
      <c r="A24" s="9" t="s">
        <v>19</v>
      </c>
      <c r="B24" s="48" t="s">
        <v>20</v>
      </c>
      <c r="C24" s="49"/>
      <c r="D24" s="49"/>
      <c r="E24" s="49"/>
      <c r="F24" s="49"/>
    </row>
    <row r="25" spans="1:6" ht="23.25" x14ac:dyDescent="0.35">
      <c r="A25" s="10" t="s">
        <v>21</v>
      </c>
      <c r="B25" s="3"/>
      <c r="C25" s="3"/>
      <c r="D25" s="3"/>
      <c r="E25" s="3"/>
      <c r="F25" s="3"/>
    </row>
    <row r="26" spans="1:6" ht="23.25" x14ac:dyDescent="0.35">
      <c r="A26" s="11" t="s">
        <v>22</v>
      </c>
      <c r="B26" s="3"/>
      <c r="C26" s="3"/>
      <c r="D26" s="3"/>
      <c r="E26" s="3"/>
      <c r="F26" s="3"/>
    </row>
    <row r="27" spans="1:6" ht="23.25" x14ac:dyDescent="0.35">
      <c r="A27" s="50" t="s">
        <v>23</v>
      </c>
      <c r="B27" s="50"/>
      <c r="C27" s="3"/>
      <c r="D27" s="3"/>
      <c r="E27" s="3"/>
      <c r="F27" s="3"/>
    </row>
    <row r="28" spans="1:6" ht="23.25" x14ac:dyDescent="0.35">
      <c r="A28" s="5" t="s">
        <v>24</v>
      </c>
      <c r="B28" s="3"/>
      <c r="C28" s="3"/>
      <c r="D28" s="3"/>
      <c r="E28" s="3"/>
      <c r="F28" s="3"/>
    </row>
    <row r="29" spans="1:6" ht="23.25" x14ac:dyDescent="0.35">
      <c r="A29" s="10"/>
      <c r="B29" s="3"/>
      <c r="C29" s="3"/>
      <c r="D29" s="3"/>
      <c r="E29" s="3"/>
      <c r="F29" s="3"/>
    </row>
    <row r="30" spans="1:6" ht="23.25" x14ac:dyDescent="0.35">
      <c r="A30" s="10"/>
      <c r="B30" s="3"/>
      <c r="C30" s="3"/>
      <c r="D30" s="3"/>
      <c r="E30" s="3"/>
      <c r="F30" s="3"/>
    </row>
    <row r="31" spans="1:6" ht="23.25" x14ac:dyDescent="0.35">
      <c r="A31" s="3"/>
      <c r="B31" s="3"/>
      <c r="C31" s="3"/>
      <c r="D31" s="5" t="s">
        <v>25</v>
      </c>
      <c r="E31" s="3"/>
      <c r="F31" s="3"/>
    </row>
    <row r="32" spans="1:6" ht="23.25" x14ac:dyDescent="0.35">
      <c r="A32" s="3"/>
      <c r="B32" s="3"/>
      <c r="C32" s="5"/>
      <c r="D32" s="3"/>
      <c r="E32" s="3"/>
      <c r="F32" s="3"/>
    </row>
    <row r="33" spans="1:6" ht="23.25" x14ac:dyDescent="0.35">
      <c r="A33" s="12"/>
      <c r="B33" s="3"/>
      <c r="C33" s="3"/>
      <c r="D33" s="3"/>
      <c r="E33" s="3"/>
      <c r="F33" s="3"/>
    </row>
    <row r="34" spans="1:6" ht="23.25" x14ac:dyDescent="0.35">
      <c r="A34" s="2" t="s">
        <v>26</v>
      </c>
      <c r="B34" s="3"/>
      <c r="C34" s="3"/>
      <c r="D34" s="3"/>
      <c r="E34" s="3"/>
      <c r="F34" s="5" t="s">
        <v>27</v>
      </c>
    </row>
    <row r="35" spans="1:6" ht="23.25" x14ac:dyDescent="0.35">
      <c r="A35" s="13" t="s">
        <v>28</v>
      </c>
      <c r="B35" s="3"/>
      <c r="C35" s="3"/>
      <c r="D35" s="3"/>
      <c r="E35" s="3"/>
      <c r="F35" s="3"/>
    </row>
    <row r="36" spans="1:6" ht="23.25" x14ac:dyDescent="0.35">
      <c r="A36" s="13"/>
      <c r="B36" s="3"/>
      <c r="C36" s="3"/>
      <c r="D36" s="3"/>
      <c r="E36" s="3"/>
      <c r="F36" s="5" t="s">
        <v>29</v>
      </c>
    </row>
    <row r="37" spans="1:6" ht="23.25" x14ac:dyDescent="0.35">
      <c r="A37" s="13"/>
      <c r="B37" s="3"/>
      <c r="C37" s="3"/>
      <c r="D37" s="3"/>
      <c r="E37" s="3"/>
      <c r="F37" s="14" t="s">
        <v>30</v>
      </c>
    </row>
    <row r="38" spans="1:6" ht="23.25" x14ac:dyDescent="0.35">
      <c r="A38" s="3"/>
      <c r="B38" s="3"/>
      <c r="C38" s="3"/>
      <c r="D38" s="3"/>
      <c r="E38" s="3"/>
      <c r="F38" s="3"/>
    </row>
    <row r="39" spans="1:6" ht="23.25" x14ac:dyDescent="0.35">
      <c r="A39" s="3"/>
      <c r="B39" s="3"/>
      <c r="C39" s="3"/>
      <c r="D39" s="3"/>
      <c r="E39" s="3"/>
      <c r="F39" s="3"/>
    </row>
    <row r="40" spans="1:6" ht="23.25" x14ac:dyDescent="0.35">
      <c r="A40" s="3"/>
      <c r="B40" s="3"/>
      <c r="C40" s="3"/>
      <c r="D40" s="3"/>
      <c r="E40" s="3"/>
      <c r="F40" s="3"/>
    </row>
    <row r="41" spans="1:6" ht="23.25" x14ac:dyDescent="0.35">
      <c r="A41" s="3"/>
      <c r="B41" s="3"/>
      <c r="C41" s="3"/>
      <c r="D41" s="3"/>
      <c r="E41" s="3"/>
      <c r="F41" s="3"/>
    </row>
    <row r="42" spans="1:6" ht="23.25" x14ac:dyDescent="0.35">
      <c r="A42" s="3"/>
      <c r="B42" s="3"/>
      <c r="C42" s="3"/>
      <c r="D42" s="3"/>
      <c r="E42" s="3"/>
      <c r="F42" s="3"/>
    </row>
    <row r="43" spans="1:6" ht="23.25" x14ac:dyDescent="0.35">
      <c r="A43" s="3"/>
      <c r="B43" s="3"/>
      <c r="C43" s="3"/>
      <c r="D43" s="3"/>
      <c r="E43" s="3"/>
      <c r="F43" s="3"/>
    </row>
    <row r="44" spans="1:6" ht="23.25" x14ac:dyDescent="0.35">
      <c r="A44" s="3"/>
      <c r="B44" s="3"/>
      <c r="C44" s="3"/>
      <c r="D44" s="3"/>
      <c r="E44" s="3"/>
      <c r="F44" s="3"/>
    </row>
    <row r="45" spans="1:6" ht="23.25" x14ac:dyDescent="0.35">
      <c r="A45" s="3"/>
      <c r="B45" s="3"/>
      <c r="C45" s="3"/>
      <c r="D45" s="3"/>
      <c r="E45" s="3"/>
      <c r="F45" s="3"/>
    </row>
    <row r="46" spans="1:6" ht="23.25" x14ac:dyDescent="0.35">
      <c r="A46" s="3"/>
      <c r="B46" s="3"/>
      <c r="C46" s="3"/>
      <c r="D46" s="3"/>
      <c r="E46" s="3"/>
      <c r="F46" s="3"/>
    </row>
  </sheetData>
  <mergeCells count="10">
    <mergeCell ref="B24:F24"/>
    <mergeCell ref="A27:B27"/>
    <mergeCell ref="A7:F7"/>
    <mergeCell ref="A15:A23"/>
    <mergeCell ref="B15:B23"/>
    <mergeCell ref="C15:C23"/>
    <mergeCell ref="D15:D23"/>
    <mergeCell ref="E15:E23"/>
    <mergeCell ref="F15:F16"/>
    <mergeCell ref="F22:F23"/>
  </mergeCells>
  <pageMargins left="0.7" right="0.7" top="0.75" bottom="0.75" header="0.3" footer="0.3"/>
  <pageSetup paperSize="9" scale="5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6662-E45F-4095-AFDA-0EB23C7E5C2C}">
  <dimension ref="A1:F41"/>
  <sheetViews>
    <sheetView rightToLeft="1" topLeftCell="A11" zoomScaleNormal="100" workbookViewId="0">
      <selection activeCell="A15" sqref="A15:A23"/>
    </sheetView>
  </sheetViews>
  <sheetFormatPr defaultRowHeight="15" x14ac:dyDescent="0.25"/>
  <cols>
    <col min="1" max="1" width="27.28515625" customWidth="1"/>
    <col min="2" max="2" width="30" customWidth="1"/>
    <col min="3" max="4" width="17.42578125" customWidth="1"/>
    <col min="5" max="5" width="24.140625" customWidth="1"/>
    <col min="6" max="6" width="24.42578125" customWidth="1"/>
  </cols>
  <sheetData>
    <row r="1" spans="1:6" ht="18.75" x14ac:dyDescent="0.3">
      <c r="A1" s="15"/>
      <c r="B1" s="15"/>
      <c r="C1" s="15"/>
      <c r="D1" s="15"/>
      <c r="E1" s="15"/>
      <c r="F1" s="15"/>
    </row>
    <row r="2" spans="1:6" ht="18.75" x14ac:dyDescent="0.3">
      <c r="A2" s="15"/>
      <c r="B2" s="15"/>
      <c r="C2" s="15"/>
      <c r="D2" s="15"/>
      <c r="E2" s="15"/>
      <c r="F2" s="15"/>
    </row>
    <row r="3" spans="1:6" ht="18.75" x14ac:dyDescent="0.3">
      <c r="A3" s="15"/>
      <c r="B3" s="15"/>
      <c r="C3" s="15"/>
      <c r="D3" s="15"/>
      <c r="E3" s="15"/>
      <c r="F3" s="15"/>
    </row>
    <row r="4" spans="1:6" ht="18.75" x14ac:dyDescent="0.3">
      <c r="A4" s="15"/>
      <c r="B4" s="15"/>
      <c r="C4" s="15"/>
      <c r="D4" s="15"/>
      <c r="E4" s="15"/>
      <c r="F4" s="15"/>
    </row>
    <row r="5" spans="1:6" ht="18.75" x14ac:dyDescent="0.3">
      <c r="A5" s="15"/>
      <c r="B5" s="15"/>
      <c r="C5" s="15"/>
      <c r="D5" s="15"/>
      <c r="E5" s="15"/>
      <c r="F5" s="15"/>
    </row>
    <row r="6" spans="1:6" ht="18.75" x14ac:dyDescent="0.3">
      <c r="A6" s="15"/>
      <c r="B6" s="15"/>
      <c r="C6" s="15"/>
      <c r="D6" s="15"/>
      <c r="E6" s="15"/>
      <c r="F6" s="15"/>
    </row>
    <row r="7" spans="1:6" ht="38.450000000000003" customHeight="1" x14ac:dyDescent="0.25">
      <c r="A7" s="61" t="s">
        <v>0</v>
      </c>
      <c r="B7" s="61"/>
      <c r="C7" s="61"/>
      <c r="D7" s="61"/>
      <c r="E7" s="61"/>
      <c r="F7" s="61"/>
    </row>
    <row r="8" spans="1:6" ht="36" customHeight="1" x14ac:dyDescent="0.3">
      <c r="A8" s="16"/>
      <c r="B8" s="15"/>
      <c r="C8" s="15"/>
      <c r="D8" s="15"/>
      <c r="E8" s="15"/>
      <c r="F8" s="15"/>
    </row>
    <row r="9" spans="1:6" ht="38.450000000000003" customHeight="1" x14ac:dyDescent="0.3">
      <c r="A9" s="16"/>
      <c r="B9" s="15"/>
      <c r="C9" s="15"/>
      <c r="D9" s="15"/>
      <c r="E9" s="15"/>
      <c r="F9" s="15"/>
    </row>
    <row r="10" spans="1:6" ht="39" customHeight="1" x14ac:dyDescent="0.35">
      <c r="A10" s="2" t="s">
        <v>37</v>
      </c>
      <c r="B10" s="3"/>
      <c r="C10" s="3"/>
      <c r="D10" s="3"/>
      <c r="E10" s="3"/>
      <c r="F10" s="2"/>
    </row>
    <row r="11" spans="1:6" ht="43.9" customHeight="1" x14ac:dyDescent="0.35">
      <c r="A11" s="2" t="s">
        <v>3</v>
      </c>
      <c r="B11" s="3"/>
      <c r="C11" s="3"/>
      <c r="D11" s="3"/>
      <c r="E11" s="5" t="s">
        <v>4</v>
      </c>
      <c r="F11" s="3"/>
    </row>
    <row r="12" spans="1:6" ht="23.25" x14ac:dyDescent="0.35">
      <c r="A12" s="6"/>
      <c r="B12" s="3"/>
      <c r="C12" s="3"/>
      <c r="D12" s="3"/>
      <c r="E12" s="3"/>
      <c r="F12" s="3"/>
    </row>
    <row r="13" spans="1:6" ht="22.5" x14ac:dyDescent="0.25">
      <c r="A13" s="6"/>
      <c r="B13" s="6"/>
      <c r="C13" s="6"/>
      <c r="D13" s="6"/>
      <c r="E13" s="6"/>
      <c r="F13" s="6"/>
    </row>
    <row r="14" spans="1:6" ht="22.5" x14ac:dyDescent="0.25">
      <c r="A14" s="7" t="s">
        <v>6</v>
      </c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</row>
    <row r="15" spans="1:6" x14ac:dyDescent="0.25">
      <c r="A15" s="62" t="s">
        <v>34</v>
      </c>
      <c r="B15" s="62" t="s">
        <v>35</v>
      </c>
      <c r="C15" s="57">
        <v>2024</v>
      </c>
      <c r="D15" s="57" t="s">
        <v>14</v>
      </c>
      <c r="E15" s="58" t="s">
        <v>31</v>
      </c>
      <c r="F15" s="57">
        <v>36500</v>
      </c>
    </row>
    <row r="16" spans="1:6" x14ac:dyDescent="0.25">
      <c r="A16" s="62"/>
      <c r="B16" s="62"/>
      <c r="C16" s="57"/>
      <c r="D16" s="57"/>
      <c r="E16" s="58"/>
      <c r="F16" s="57"/>
    </row>
    <row r="17" spans="1:6" ht="45" x14ac:dyDescent="0.25">
      <c r="A17" s="62"/>
      <c r="B17" s="62"/>
      <c r="C17" s="57"/>
      <c r="D17" s="57"/>
      <c r="E17" s="58"/>
      <c r="F17" s="8" t="s">
        <v>16</v>
      </c>
    </row>
    <row r="18" spans="1:6" ht="22.5" x14ac:dyDescent="0.25">
      <c r="A18" s="62"/>
      <c r="B18" s="62"/>
      <c r="C18" s="57"/>
      <c r="D18" s="57"/>
      <c r="E18" s="58"/>
      <c r="F18" s="8">
        <f>F15*15%</f>
        <v>5475</v>
      </c>
    </row>
    <row r="19" spans="1:6" ht="22.5" x14ac:dyDescent="0.25">
      <c r="A19" s="62"/>
      <c r="B19" s="62"/>
      <c r="C19" s="57"/>
      <c r="D19" s="57"/>
      <c r="E19" s="58"/>
      <c r="F19" s="8" t="s">
        <v>32</v>
      </c>
    </row>
    <row r="20" spans="1:6" ht="22.5" x14ac:dyDescent="0.25">
      <c r="A20" s="62"/>
      <c r="B20" s="62"/>
      <c r="C20" s="57"/>
      <c r="D20" s="57"/>
      <c r="E20" s="58"/>
      <c r="F20" s="8">
        <v>800</v>
      </c>
    </row>
    <row r="21" spans="1:6" ht="22.5" x14ac:dyDescent="0.25">
      <c r="A21" s="62"/>
      <c r="B21" s="62"/>
      <c r="C21" s="57"/>
      <c r="D21" s="57"/>
      <c r="E21" s="58"/>
      <c r="F21" s="8" t="s">
        <v>33</v>
      </c>
    </row>
    <row r="22" spans="1:6" x14ac:dyDescent="0.25">
      <c r="A22" s="62"/>
      <c r="B22" s="62"/>
      <c r="C22" s="57"/>
      <c r="D22" s="57"/>
      <c r="E22" s="58"/>
      <c r="F22" s="57">
        <f>F15+F18+F20</f>
        <v>42775</v>
      </c>
    </row>
    <row r="23" spans="1:6" x14ac:dyDescent="0.25">
      <c r="A23" s="62"/>
      <c r="B23" s="62"/>
      <c r="C23" s="57"/>
      <c r="D23" s="57"/>
      <c r="E23" s="58"/>
      <c r="F23" s="57"/>
    </row>
    <row r="24" spans="1:6" ht="42.6" customHeight="1" x14ac:dyDescent="0.25">
      <c r="A24" s="9" t="s">
        <v>38</v>
      </c>
      <c r="B24" s="52" t="s">
        <v>36</v>
      </c>
      <c r="C24" s="59"/>
      <c r="D24" s="59"/>
      <c r="E24" s="60"/>
      <c r="F24" s="17">
        <f>F22*10</f>
        <v>427750</v>
      </c>
    </row>
    <row r="25" spans="1:6" ht="23.25" x14ac:dyDescent="0.35">
      <c r="A25" s="10" t="s">
        <v>21</v>
      </c>
      <c r="B25" s="3"/>
      <c r="C25" s="18"/>
      <c r="D25" s="18"/>
      <c r="E25" s="18"/>
      <c r="F25" s="18"/>
    </row>
    <row r="26" spans="1:6" ht="23.25" x14ac:dyDescent="0.35">
      <c r="A26" s="11" t="s">
        <v>22</v>
      </c>
      <c r="B26" s="3"/>
      <c r="C26" s="18"/>
      <c r="D26" s="18"/>
      <c r="E26" s="18"/>
      <c r="F26" s="18"/>
    </row>
    <row r="27" spans="1:6" ht="22.9" customHeight="1" x14ac:dyDescent="0.35">
      <c r="A27" s="50" t="s">
        <v>23</v>
      </c>
      <c r="B27" s="50"/>
      <c r="C27" s="18"/>
      <c r="E27" s="18"/>
      <c r="F27" s="18"/>
    </row>
    <row r="28" spans="1:6" ht="23.25" x14ac:dyDescent="0.35">
      <c r="A28" s="5" t="s">
        <v>24</v>
      </c>
      <c r="B28" s="3"/>
      <c r="C28" s="1"/>
      <c r="D28" s="18"/>
      <c r="E28" s="18"/>
      <c r="F28" s="18"/>
    </row>
    <row r="29" spans="1:6" ht="21" x14ac:dyDescent="0.35">
      <c r="A29" s="19"/>
      <c r="B29" s="18"/>
      <c r="C29" s="18"/>
      <c r="D29" s="1" t="s">
        <v>25</v>
      </c>
      <c r="E29" s="18"/>
      <c r="F29" s="18"/>
    </row>
    <row r="30" spans="1:6" ht="21" x14ac:dyDescent="0.35">
      <c r="A30" s="20"/>
      <c r="B30" s="18"/>
      <c r="C30" s="18"/>
      <c r="D30" s="18"/>
      <c r="E30" s="18"/>
      <c r="F30" s="1" t="s">
        <v>27</v>
      </c>
    </row>
    <row r="31" spans="1:6" ht="23.25" x14ac:dyDescent="0.35">
      <c r="A31" s="21" t="s">
        <v>28</v>
      </c>
      <c r="B31" s="15"/>
      <c r="C31" s="15"/>
      <c r="D31" s="15"/>
      <c r="E31" s="15"/>
      <c r="F31" s="5" t="s">
        <v>29</v>
      </c>
    </row>
    <row r="32" spans="1:6" ht="23.25" x14ac:dyDescent="0.35">
      <c r="A32" s="21"/>
      <c r="B32" s="15"/>
      <c r="C32" s="15"/>
      <c r="D32" s="15"/>
      <c r="E32" s="15"/>
      <c r="F32" s="14" t="s">
        <v>30</v>
      </c>
    </row>
    <row r="33" spans="1:6" ht="21" x14ac:dyDescent="0.35">
      <c r="A33" s="21"/>
      <c r="B33" s="15"/>
      <c r="C33" s="15"/>
      <c r="D33" s="15"/>
      <c r="E33" s="15"/>
      <c r="F33" s="22"/>
    </row>
    <row r="34" spans="1:6" ht="18.75" x14ac:dyDescent="0.3">
      <c r="A34" s="15"/>
      <c r="B34" s="15"/>
      <c r="C34" s="15"/>
      <c r="D34" s="15"/>
      <c r="E34" s="15"/>
      <c r="F34" s="15"/>
    </row>
    <row r="35" spans="1:6" ht="18.75" x14ac:dyDescent="0.3">
      <c r="A35" s="15"/>
      <c r="B35" s="15"/>
      <c r="C35" s="15"/>
      <c r="D35" s="15"/>
      <c r="E35" s="15"/>
      <c r="F35" s="15"/>
    </row>
    <row r="36" spans="1:6" ht="18.75" x14ac:dyDescent="0.3">
      <c r="A36" s="15"/>
      <c r="B36" s="15"/>
      <c r="C36" s="15"/>
      <c r="D36" s="15"/>
      <c r="E36" s="15"/>
      <c r="F36" s="15"/>
    </row>
    <row r="37" spans="1:6" ht="18.75" x14ac:dyDescent="0.3">
      <c r="A37" s="15"/>
      <c r="B37" s="15"/>
      <c r="C37" s="15"/>
      <c r="D37" s="15"/>
      <c r="E37" s="15"/>
      <c r="F37" s="15"/>
    </row>
    <row r="38" spans="1:6" ht="18.75" x14ac:dyDescent="0.3">
      <c r="A38" s="15"/>
      <c r="B38" s="15"/>
      <c r="C38" s="15"/>
      <c r="D38" s="15"/>
      <c r="E38" s="15"/>
      <c r="F38" s="15"/>
    </row>
    <row r="39" spans="1:6" ht="18.75" x14ac:dyDescent="0.3">
      <c r="A39" s="15"/>
      <c r="B39" s="15"/>
      <c r="C39" s="15"/>
      <c r="D39" s="15"/>
      <c r="E39" s="15"/>
      <c r="F39" s="15"/>
    </row>
    <row r="40" spans="1:6" ht="18.75" x14ac:dyDescent="0.3">
      <c r="A40" s="15"/>
      <c r="B40" s="15"/>
      <c r="C40" s="15"/>
      <c r="D40" s="15"/>
      <c r="E40" s="15"/>
      <c r="F40" s="15"/>
    </row>
    <row r="41" spans="1:6" ht="18.75" x14ac:dyDescent="0.3">
      <c r="A41" s="15"/>
      <c r="B41" s="15"/>
      <c r="C41" s="15"/>
      <c r="D41" s="15"/>
      <c r="E41" s="15"/>
      <c r="F41" s="15"/>
    </row>
  </sheetData>
  <mergeCells count="10">
    <mergeCell ref="B24:E24"/>
    <mergeCell ref="A27:B27"/>
    <mergeCell ref="A7:F7"/>
    <mergeCell ref="A15:A23"/>
    <mergeCell ref="B15:B23"/>
    <mergeCell ref="C15:C23"/>
    <mergeCell ref="D15:D23"/>
    <mergeCell ref="E15:E23"/>
    <mergeCell ref="F15:F16"/>
    <mergeCell ref="F22:F23"/>
  </mergeCells>
  <pageMargins left="0.7" right="0.7" top="0.75" bottom="0.75" header="0.3" footer="0.3"/>
  <pageSetup paperSize="9" scale="56" orientation="portrait" horizontalDpi="300" verticalDpi="300" r:id="rId1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C9C0-5E9B-4183-9B98-595753A92061}">
  <sheetPr>
    <pageSetUpPr fitToPage="1"/>
  </sheetPr>
  <dimension ref="A1:T59"/>
  <sheetViews>
    <sheetView rightToLeft="1" tabSelected="1" topLeftCell="A10" zoomScale="70" zoomScaleNormal="70" workbookViewId="0">
      <selection activeCell="C45" sqref="C45"/>
    </sheetView>
  </sheetViews>
  <sheetFormatPr defaultRowHeight="15" x14ac:dyDescent="0.25"/>
  <cols>
    <col min="1" max="1" width="6.140625" customWidth="1"/>
    <col min="2" max="2" width="20.5703125" customWidth="1"/>
    <col min="3" max="3" width="34" customWidth="1"/>
    <col min="4" max="4" width="13.42578125" customWidth="1"/>
    <col min="5" max="5" width="9.85546875" customWidth="1"/>
    <col min="6" max="6" width="38.140625" customWidth="1"/>
    <col min="7" max="7" width="18.42578125" customWidth="1"/>
    <col min="8" max="8" width="18.85546875" customWidth="1"/>
    <col min="9" max="9" width="19.140625" customWidth="1"/>
    <col min="10" max="10" width="18.85546875" customWidth="1"/>
    <col min="11" max="18" width="0" hidden="1" customWidth="1"/>
  </cols>
  <sheetData>
    <row r="1" spans="1:1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43.15" customHeight="1" x14ac:dyDescent="0.25">
      <c r="A15" s="23"/>
      <c r="B15" s="77" t="s">
        <v>0</v>
      </c>
      <c r="C15" s="77"/>
      <c r="D15" s="77"/>
      <c r="E15" s="77"/>
      <c r="F15" s="77"/>
      <c r="G15" s="77"/>
      <c r="H15" s="77"/>
      <c r="I15" s="77"/>
      <c r="J15" s="77"/>
      <c r="K15" s="23"/>
    </row>
    <row r="16" spans="1:11" ht="40.15" customHeight="1" x14ac:dyDescent="0.25">
      <c r="A16" s="78" t="s">
        <v>39</v>
      </c>
      <c r="B16" s="78"/>
      <c r="C16" s="23"/>
      <c r="D16" s="23"/>
      <c r="E16" s="23"/>
      <c r="F16" s="23"/>
      <c r="G16" s="23"/>
      <c r="H16" s="23"/>
      <c r="I16" s="23"/>
      <c r="J16" s="23"/>
      <c r="K16" s="23"/>
    </row>
    <row r="17" spans="1:20" ht="38.450000000000003" customHeight="1" thickBot="1" x14ac:dyDescent="0.4">
      <c r="A17" s="79">
        <f ca="1">+TODAY()</f>
        <v>45960</v>
      </c>
      <c r="B17" s="79"/>
      <c r="C17" s="24"/>
      <c r="D17" s="24"/>
      <c r="E17" s="24"/>
      <c r="F17" s="24"/>
      <c r="G17" s="24"/>
      <c r="H17" s="25"/>
      <c r="I17" s="24"/>
      <c r="J17" s="23"/>
      <c r="K17" s="23"/>
    </row>
    <row r="18" spans="1:20" ht="41.45" customHeight="1" thickBot="1" x14ac:dyDescent="0.4">
      <c r="A18" s="72" t="s">
        <v>40</v>
      </c>
      <c r="B18" s="72"/>
      <c r="C18" s="73"/>
      <c r="D18" s="74"/>
      <c r="E18" s="24"/>
      <c r="F18" s="24"/>
      <c r="G18" s="65" t="s">
        <v>41</v>
      </c>
      <c r="H18" s="65"/>
      <c r="I18" s="23"/>
      <c r="J18" s="23"/>
      <c r="K18" s="23"/>
    </row>
    <row r="19" spans="1:20" ht="23.25" x14ac:dyDescent="0.35">
      <c r="A19" s="23"/>
      <c r="B19" s="26"/>
      <c r="C19" s="24"/>
      <c r="D19" s="24"/>
      <c r="E19" s="24"/>
      <c r="F19" s="24"/>
      <c r="G19" s="24"/>
      <c r="H19" s="24"/>
      <c r="I19" s="24"/>
      <c r="J19" s="23"/>
      <c r="K19" s="23"/>
    </row>
    <row r="20" spans="1:20" ht="33" customHeight="1" x14ac:dyDescent="0.35">
      <c r="A20" s="75" t="s">
        <v>58</v>
      </c>
      <c r="B20" s="75"/>
      <c r="C20" s="75"/>
      <c r="D20" s="75"/>
      <c r="E20" s="75"/>
      <c r="F20" s="75"/>
      <c r="G20" s="26"/>
      <c r="H20" s="24"/>
      <c r="I20" s="24"/>
      <c r="J20" s="23"/>
      <c r="K20" s="23"/>
    </row>
    <row r="21" spans="1:20" ht="45" x14ac:dyDescent="0.25">
      <c r="A21" s="33" t="s">
        <v>42</v>
      </c>
      <c r="B21" s="33" t="s">
        <v>6</v>
      </c>
      <c r="C21" s="33" t="s">
        <v>7</v>
      </c>
      <c r="D21" s="33" t="s">
        <v>43</v>
      </c>
      <c r="E21" s="33" t="s">
        <v>9</v>
      </c>
      <c r="F21" s="33" t="s">
        <v>68</v>
      </c>
      <c r="G21" s="33" t="s">
        <v>57</v>
      </c>
      <c r="H21" s="33" t="s">
        <v>50</v>
      </c>
      <c r="I21" s="33" t="s">
        <v>59</v>
      </c>
      <c r="J21" s="33" t="s">
        <v>44</v>
      </c>
      <c r="K21" s="23"/>
      <c r="M21" s="63" t="s">
        <v>48</v>
      </c>
      <c r="N21" s="63"/>
    </row>
    <row r="22" spans="1:20" ht="129.6" customHeight="1" x14ac:dyDescent="0.25">
      <c r="A22" s="34">
        <v>1</v>
      </c>
      <c r="B22" s="35"/>
      <c r="C22" s="46"/>
      <c r="D22" s="37"/>
      <c r="E22" s="37"/>
      <c r="F22" s="40"/>
      <c r="G22" s="43"/>
      <c r="H22" s="41">
        <f>G22*15%</f>
        <v>0</v>
      </c>
      <c r="I22" s="41"/>
      <c r="J22" s="42">
        <f>G22+H22+I22</f>
        <v>0</v>
      </c>
      <c r="K22" s="81">
        <f>J22-348021</f>
        <v>-348021</v>
      </c>
      <c r="L22" s="82"/>
      <c r="M22" s="63">
        <v>91000</v>
      </c>
      <c r="N22" s="63"/>
      <c r="O22" s="63">
        <v>2500</v>
      </c>
      <c r="P22" s="63"/>
      <c r="Q22" s="63">
        <v>4500</v>
      </c>
      <c r="R22" s="63"/>
    </row>
    <row r="23" spans="1:20" ht="111.6" hidden="1" customHeight="1" x14ac:dyDescent="0.25">
      <c r="A23" s="34">
        <v>2</v>
      </c>
      <c r="B23" s="35"/>
      <c r="C23" s="36"/>
      <c r="D23" s="37"/>
      <c r="E23" s="37"/>
      <c r="F23" s="40"/>
      <c r="G23" s="43"/>
      <c r="H23" s="41"/>
      <c r="I23" s="41"/>
      <c r="J23" s="42"/>
      <c r="K23" s="44"/>
      <c r="L23" s="45"/>
      <c r="M23" s="38"/>
      <c r="N23" s="38"/>
      <c r="O23" s="38"/>
      <c r="P23" s="38"/>
      <c r="Q23" s="38"/>
      <c r="R23" s="38"/>
    </row>
    <row r="24" spans="1:20" ht="27" hidden="1" x14ac:dyDescent="0.25">
      <c r="A24" s="34">
        <v>3</v>
      </c>
      <c r="B24" s="35"/>
      <c r="C24" s="36"/>
      <c r="D24" s="37"/>
      <c r="E24" s="37"/>
      <c r="F24" s="40"/>
      <c r="G24" s="43"/>
      <c r="H24" s="41"/>
      <c r="I24" s="41"/>
      <c r="J24" s="42"/>
      <c r="K24" s="80">
        <f>J24-365005</f>
        <v>-365005</v>
      </c>
      <c r="L24" s="83"/>
      <c r="M24" s="63">
        <v>285000</v>
      </c>
      <c r="N24" s="63"/>
      <c r="O24" s="63">
        <v>6000</v>
      </c>
      <c r="P24" s="63"/>
      <c r="Q24" s="63">
        <v>3000</v>
      </c>
      <c r="R24" s="63"/>
      <c r="S24" s="63"/>
      <c r="T24" s="63"/>
    </row>
    <row r="25" spans="1:20" ht="59.45" hidden="1" customHeight="1" x14ac:dyDescent="0.25">
      <c r="A25" s="34">
        <v>3</v>
      </c>
      <c r="B25" s="35" t="s">
        <v>51</v>
      </c>
      <c r="C25" s="36" t="s">
        <v>54</v>
      </c>
      <c r="D25" s="37">
        <v>2024</v>
      </c>
      <c r="E25" s="37" t="s">
        <v>14</v>
      </c>
      <c r="F25" s="40">
        <v>3</v>
      </c>
      <c r="G25" s="43">
        <v>152500</v>
      </c>
      <c r="H25" s="41">
        <f t="shared" ref="H25:H27" si="0">G25*15%</f>
        <v>22875</v>
      </c>
      <c r="I25" s="41">
        <v>900</v>
      </c>
      <c r="J25" s="42">
        <f t="shared" ref="J25:J27" si="1">G25+H25+I25</f>
        <v>176275</v>
      </c>
      <c r="K25" s="84">
        <f>J25-520020</f>
        <v>-343745</v>
      </c>
      <c r="L25" s="80"/>
      <c r="M25" s="63"/>
      <c r="N25" s="63"/>
      <c r="O25" s="63"/>
      <c r="P25" s="63"/>
      <c r="Q25" s="63">
        <v>2000</v>
      </c>
      <c r="R25" s="63"/>
      <c r="S25" s="63"/>
      <c r="T25" s="63"/>
    </row>
    <row r="26" spans="1:20" ht="81" hidden="1" x14ac:dyDescent="0.25">
      <c r="A26" s="34">
        <v>4</v>
      </c>
      <c r="B26" s="35" t="s">
        <v>52</v>
      </c>
      <c r="C26" s="36" t="s">
        <v>53</v>
      </c>
      <c r="D26" s="37">
        <v>2024</v>
      </c>
      <c r="E26" s="37" t="s">
        <v>14</v>
      </c>
      <c r="F26" s="40">
        <v>5</v>
      </c>
      <c r="G26" s="43">
        <v>58800</v>
      </c>
      <c r="H26" s="41">
        <f t="shared" si="0"/>
        <v>8820</v>
      </c>
      <c r="I26" s="41">
        <v>600</v>
      </c>
      <c r="J26" s="42">
        <f t="shared" si="1"/>
        <v>68220</v>
      </c>
      <c r="K26" s="80">
        <f>J26-240036</f>
        <v>-171816</v>
      </c>
      <c r="L26" s="80"/>
      <c r="M26" s="63">
        <v>42500</v>
      </c>
      <c r="N26" s="63"/>
      <c r="O26" s="63">
        <v>2500</v>
      </c>
      <c r="P26" s="63"/>
      <c r="Q26" s="63">
        <v>4500</v>
      </c>
      <c r="R26" s="63"/>
      <c r="S26" s="63"/>
      <c r="T26" s="63"/>
    </row>
    <row r="27" spans="1:20" ht="141.75" hidden="1" x14ac:dyDescent="0.25">
      <c r="A27" s="34">
        <v>5</v>
      </c>
      <c r="B27" s="35" t="s">
        <v>55</v>
      </c>
      <c r="C27" s="36" t="s">
        <v>56</v>
      </c>
      <c r="D27" s="37">
        <v>2024</v>
      </c>
      <c r="E27" s="37" t="s">
        <v>14</v>
      </c>
      <c r="F27" s="40">
        <v>1</v>
      </c>
      <c r="G27" s="43">
        <v>564000</v>
      </c>
      <c r="H27" s="41">
        <f t="shared" si="0"/>
        <v>84600</v>
      </c>
      <c r="I27" s="41">
        <v>900</v>
      </c>
      <c r="J27" s="42">
        <f t="shared" si="1"/>
        <v>649500</v>
      </c>
      <c r="K27" s="80">
        <f>J27-200016</f>
        <v>449484</v>
      </c>
      <c r="L27" s="80"/>
      <c r="M27" s="63"/>
      <c r="N27" s="63"/>
      <c r="O27" s="63">
        <v>2500</v>
      </c>
      <c r="P27" s="63"/>
      <c r="Q27" s="63">
        <v>4500</v>
      </c>
      <c r="R27" s="63"/>
      <c r="S27" s="63"/>
      <c r="T27" s="63"/>
    </row>
    <row r="28" spans="1:20" ht="55.9" hidden="1" customHeight="1" x14ac:dyDescent="0.25">
      <c r="A28" s="34">
        <v>8</v>
      </c>
      <c r="B28" s="35"/>
      <c r="C28" s="36"/>
      <c r="D28" s="37">
        <v>2024</v>
      </c>
      <c r="E28" s="37" t="s">
        <v>14</v>
      </c>
      <c r="F28" s="40"/>
      <c r="G28" s="43"/>
      <c r="H28" s="41"/>
      <c r="I28" s="41"/>
      <c r="J28" s="42"/>
      <c r="K28" s="80"/>
      <c r="L28" s="80"/>
      <c r="M28" s="63"/>
      <c r="N28" s="63"/>
      <c r="O28" s="63"/>
      <c r="P28" s="63"/>
      <c r="Q28" s="63">
        <v>2000</v>
      </c>
      <c r="R28" s="63"/>
    </row>
    <row r="29" spans="1:20" ht="55.9" hidden="1" customHeight="1" x14ac:dyDescent="0.25">
      <c r="A29" s="34">
        <v>9</v>
      </c>
      <c r="B29" s="35"/>
      <c r="C29" s="36"/>
      <c r="D29" s="37">
        <v>2024</v>
      </c>
      <c r="E29" s="37" t="s">
        <v>14</v>
      </c>
      <c r="F29" s="40"/>
      <c r="G29" s="43"/>
      <c r="H29" s="41"/>
      <c r="I29" s="41"/>
      <c r="J29" s="42"/>
      <c r="K29" s="80">
        <f>J29-251996</f>
        <v>-251996</v>
      </c>
      <c r="L29" s="80"/>
      <c r="M29" s="63"/>
      <c r="N29" s="63"/>
      <c r="O29" s="63"/>
      <c r="P29" s="63"/>
      <c r="Q29" s="63">
        <v>2000</v>
      </c>
      <c r="R29" s="63"/>
    </row>
    <row r="30" spans="1:20" ht="1.9" hidden="1" customHeight="1" x14ac:dyDescent="0.25">
      <c r="A30" s="34">
        <v>2</v>
      </c>
      <c r="B30" s="35" t="s">
        <v>66</v>
      </c>
      <c r="C30" s="36" t="s">
        <v>67</v>
      </c>
      <c r="D30" s="37">
        <v>2026</v>
      </c>
      <c r="E30" s="37" t="s">
        <v>14</v>
      </c>
      <c r="F30" s="40">
        <v>3</v>
      </c>
      <c r="G30" s="43">
        <v>141000</v>
      </c>
      <c r="H30" s="41">
        <f>G30*15%</f>
        <v>21150</v>
      </c>
      <c r="I30" s="41">
        <v>3450</v>
      </c>
      <c r="J30" s="42">
        <f>G30+H30+I30</f>
        <v>165600</v>
      </c>
      <c r="K30" s="39"/>
      <c r="L30" s="39"/>
      <c r="M30" s="38"/>
      <c r="N30" s="38"/>
      <c r="O30" s="38"/>
      <c r="P30" s="38"/>
      <c r="Q30" s="38"/>
      <c r="R30" s="38"/>
    </row>
    <row r="31" spans="1:20" ht="105" hidden="1" customHeight="1" x14ac:dyDescent="0.25">
      <c r="A31" s="34">
        <v>3</v>
      </c>
      <c r="B31" s="35" t="s">
        <v>60</v>
      </c>
      <c r="C31" s="36" t="s">
        <v>61</v>
      </c>
      <c r="D31" s="37">
        <v>2025</v>
      </c>
      <c r="E31" s="37" t="s">
        <v>14</v>
      </c>
      <c r="F31" s="40">
        <v>1</v>
      </c>
      <c r="G31" s="43">
        <v>59000</v>
      </c>
      <c r="H31" s="41">
        <f>G31*15%</f>
        <v>8850</v>
      </c>
      <c r="I31" s="41">
        <v>650</v>
      </c>
      <c r="J31" s="42">
        <f>G31+H31+I31</f>
        <v>68500</v>
      </c>
      <c r="K31" s="39"/>
      <c r="L31" s="39"/>
      <c r="M31" s="38"/>
      <c r="N31" s="38"/>
      <c r="O31" s="38"/>
      <c r="P31" s="38"/>
      <c r="Q31" s="38"/>
      <c r="R31" s="38"/>
    </row>
    <row r="32" spans="1:20" ht="13.9" hidden="1" customHeight="1" x14ac:dyDescent="0.25">
      <c r="A32" s="34">
        <v>4</v>
      </c>
      <c r="B32" s="35" t="s">
        <v>62</v>
      </c>
      <c r="C32" s="36" t="s">
        <v>63</v>
      </c>
      <c r="D32" s="37">
        <v>2025</v>
      </c>
      <c r="E32" s="37" t="s">
        <v>64</v>
      </c>
      <c r="F32" s="40">
        <v>4</v>
      </c>
      <c r="G32" s="43">
        <v>160000</v>
      </c>
      <c r="H32" s="41">
        <f>G32*15%</f>
        <v>24000</v>
      </c>
      <c r="I32" s="41">
        <v>2600</v>
      </c>
      <c r="J32" s="42">
        <f>G32+H32+I32</f>
        <v>186600</v>
      </c>
      <c r="K32" s="39"/>
      <c r="L32" s="39"/>
      <c r="M32" s="38"/>
      <c r="N32" s="38"/>
      <c r="O32" s="38"/>
      <c r="P32" s="38"/>
      <c r="Q32" s="38"/>
      <c r="R32" s="38"/>
    </row>
    <row r="33" spans="1:11" ht="44.45" customHeight="1" x14ac:dyDescent="0.25">
      <c r="A33" s="67" t="s">
        <v>45</v>
      </c>
      <c r="B33" s="67"/>
      <c r="C33" s="68">
        <v>1</v>
      </c>
      <c r="D33" s="68"/>
      <c r="E33" s="68"/>
      <c r="F33" s="68"/>
      <c r="G33" s="68"/>
      <c r="H33" s="68"/>
      <c r="I33" s="68"/>
      <c r="J33" s="68"/>
      <c r="K33" s="23"/>
    </row>
    <row r="34" spans="1:11" ht="59.45" customHeight="1" x14ac:dyDescent="0.25">
      <c r="A34" s="69" t="s">
        <v>19</v>
      </c>
      <c r="B34" s="69"/>
      <c r="C34" s="47"/>
      <c r="D34" s="70"/>
      <c r="E34" s="70"/>
      <c r="F34" s="70"/>
      <c r="G34" s="70"/>
      <c r="H34" s="70"/>
      <c r="I34" s="70"/>
      <c r="J34" s="70"/>
      <c r="K34" s="23"/>
    </row>
    <row r="35" spans="1:11" s="23" customFormat="1" ht="23.25" x14ac:dyDescent="0.35">
      <c r="A35" s="27" t="s">
        <v>46</v>
      </c>
      <c r="C35" s="24"/>
      <c r="D35" s="24"/>
      <c r="E35" s="24"/>
      <c r="F35" s="24"/>
      <c r="G35" s="24"/>
      <c r="H35" s="24"/>
      <c r="I35" s="24"/>
    </row>
    <row r="36" spans="1:11" s="23" customFormat="1" ht="23.25" x14ac:dyDescent="0.35">
      <c r="B36" s="27"/>
      <c r="C36" s="24"/>
      <c r="D36" s="24"/>
      <c r="E36" s="24"/>
      <c r="F36" s="24"/>
      <c r="G36" s="24"/>
      <c r="H36" s="24"/>
      <c r="I36" s="24"/>
    </row>
    <row r="37" spans="1:11" s="23" customFormat="1" ht="23.25" x14ac:dyDescent="0.35">
      <c r="A37" s="28"/>
      <c r="C37" s="24"/>
      <c r="D37" s="24"/>
      <c r="E37" s="24"/>
      <c r="G37" s="24"/>
      <c r="H37" s="24"/>
      <c r="I37" s="24"/>
    </row>
    <row r="38" spans="1:11" s="23" customFormat="1" ht="23.25" x14ac:dyDescent="0.35">
      <c r="B38" s="28"/>
      <c r="C38" s="24"/>
      <c r="D38" s="24"/>
      <c r="E38" s="24"/>
      <c r="G38" s="24"/>
      <c r="H38" s="24"/>
      <c r="I38" s="24"/>
    </row>
    <row r="39" spans="1:11" s="23" customFormat="1" ht="23.25" x14ac:dyDescent="0.35">
      <c r="A39" s="24" t="s">
        <v>24</v>
      </c>
      <c r="C39" s="24"/>
      <c r="D39" s="24"/>
      <c r="E39" s="24"/>
      <c r="F39" s="24"/>
      <c r="G39" s="24"/>
      <c r="H39" s="24"/>
      <c r="I39" s="24"/>
    </row>
    <row r="40" spans="1:11" s="23" customFormat="1" ht="23.25" x14ac:dyDescent="0.35">
      <c r="B40" s="24"/>
      <c r="C40" s="24"/>
      <c r="D40" s="24"/>
      <c r="E40" s="24"/>
      <c r="F40" s="24"/>
      <c r="G40" s="24"/>
      <c r="H40" s="24"/>
      <c r="I40" s="24"/>
    </row>
    <row r="41" spans="1:11" s="23" customFormat="1" ht="23.25" x14ac:dyDescent="0.35">
      <c r="A41" s="27" t="s">
        <v>49</v>
      </c>
      <c r="C41" s="24"/>
      <c r="D41" s="24"/>
      <c r="E41" s="24"/>
      <c r="F41" s="24"/>
      <c r="G41" s="24"/>
      <c r="H41" s="24"/>
      <c r="I41" s="24"/>
    </row>
    <row r="42" spans="1:11" s="23" customFormat="1" ht="23.25" x14ac:dyDescent="0.35">
      <c r="B42" s="24" t="s">
        <v>71</v>
      </c>
      <c r="C42" s="24"/>
      <c r="D42" s="24"/>
      <c r="E42" s="24"/>
      <c r="F42" s="24"/>
      <c r="G42" s="24"/>
      <c r="H42" s="24"/>
      <c r="I42" s="24"/>
    </row>
    <row r="43" spans="1:11" s="23" customFormat="1" ht="23.25" x14ac:dyDescent="0.35">
      <c r="A43" s="24"/>
      <c r="B43" s="27" t="s">
        <v>65</v>
      </c>
      <c r="C43" s="29"/>
      <c r="D43" s="29"/>
      <c r="E43" s="29" t="s">
        <v>25</v>
      </c>
      <c r="F43" s="29"/>
      <c r="G43" s="29"/>
    </row>
    <row r="44" spans="1:11" s="23" customFormat="1" ht="23.25" x14ac:dyDescent="0.35">
      <c r="B44" s="24"/>
      <c r="C44" s="29"/>
      <c r="D44" s="29"/>
      <c r="E44" s="29"/>
      <c r="F44" s="29"/>
      <c r="G44" s="29"/>
    </row>
    <row r="45" spans="1:11" s="23" customFormat="1" ht="23.25" x14ac:dyDescent="0.35">
      <c r="A45" s="76"/>
      <c r="B45" s="76"/>
      <c r="C45" s="29"/>
      <c r="D45" s="29"/>
      <c r="E45" s="29"/>
      <c r="F45" s="29"/>
      <c r="G45" s="29"/>
    </row>
    <row r="46" spans="1:11" s="23" customFormat="1" ht="21" x14ac:dyDescent="0.35">
      <c r="B46" s="30"/>
      <c r="C46" s="29"/>
      <c r="D46" s="29"/>
      <c r="E46" s="29"/>
      <c r="F46" s="29"/>
      <c r="G46" s="29"/>
      <c r="H46" s="66" t="s">
        <v>47</v>
      </c>
      <c r="I46" s="66"/>
    </row>
    <row r="47" spans="1:11" s="23" customFormat="1" ht="21" x14ac:dyDescent="0.35">
      <c r="A47" s="31" t="s">
        <v>26</v>
      </c>
      <c r="C47" s="29"/>
      <c r="D47" s="29"/>
      <c r="E47" s="29"/>
      <c r="F47" s="29"/>
      <c r="H47" s="66" t="s">
        <v>69</v>
      </c>
      <c r="I47" s="66"/>
    </row>
    <row r="48" spans="1:11" ht="21" x14ac:dyDescent="0.35">
      <c r="A48" s="71" t="s">
        <v>28</v>
      </c>
      <c r="B48" s="71"/>
      <c r="C48" s="71"/>
      <c r="D48" s="32"/>
      <c r="E48" s="32"/>
      <c r="F48" s="32"/>
      <c r="G48" s="32"/>
      <c r="H48" s="64" t="s">
        <v>70</v>
      </c>
      <c r="I48" s="64"/>
      <c r="J48" s="23"/>
      <c r="K48" s="23"/>
    </row>
    <row r="49" spans="1:11" ht="21" customHeight="1" x14ac:dyDescent="0.3">
      <c r="A49" s="71"/>
      <c r="B49" s="71"/>
      <c r="C49" s="71"/>
      <c r="D49" s="32"/>
      <c r="E49" s="32"/>
      <c r="F49" s="32"/>
      <c r="G49" s="23"/>
      <c r="H49" s="23"/>
      <c r="I49" s="23"/>
      <c r="J49" s="23"/>
      <c r="K49" s="23"/>
    </row>
    <row r="50" spans="1:11" ht="21" customHeight="1" x14ac:dyDescent="0.3">
      <c r="A50" s="71"/>
      <c r="B50" s="71"/>
      <c r="C50" s="71"/>
      <c r="D50" s="32"/>
      <c r="E50" s="32"/>
      <c r="F50" s="32"/>
      <c r="G50" s="23"/>
      <c r="H50" s="23"/>
      <c r="I50" s="23"/>
      <c r="J50" s="23"/>
      <c r="K50" s="23"/>
    </row>
    <row r="51" spans="1:11" ht="21" x14ac:dyDescent="0.35">
      <c r="A51" s="23"/>
      <c r="B51" s="64"/>
      <c r="C51" s="64"/>
      <c r="D51" s="32"/>
      <c r="E51" s="32"/>
      <c r="F51" s="32"/>
      <c r="G51" s="32"/>
      <c r="H51" s="23"/>
      <c r="I51" s="23"/>
      <c r="J51" s="23"/>
      <c r="K51" s="23"/>
    </row>
    <row r="52" spans="1:11" ht="18.75" x14ac:dyDescent="0.3">
      <c r="A52" s="23"/>
      <c r="B52" s="32"/>
      <c r="C52" s="32"/>
      <c r="D52" s="32"/>
      <c r="E52" s="32"/>
      <c r="F52" s="32"/>
      <c r="G52" s="32"/>
      <c r="H52" s="23"/>
      <c r="I52" s="23"/>
      <c r="J52" s="23"/>
      <c r="K52" s="23"/>
    </row>
    <row r="53" spans="1:11" ht="18.75" x14ac:dyDescent="0.3">
      <c r="A53" s="23"/>
      <c r="B53" s="32"/>
      <c r="C53" s="32"/>
      <c r="D53" s="32"/>
      <c r="E53" s="32"/>
      <c r="F53" s="32"/>
      <c r="G53" s="32"/>
      <c r="H53" s="23"/>
      <c r="I53" s="23"/>
      <c r="J53" s="23"/>
      <c r="K53" s="23"/>
    </row>
    <row r="54" spans="1:11" ht="18.75" x14ac:dyDescent="0.3">
      <c r="A54" s="23"/>
      <c r="B54" s="32"/>
      <c r="C54" s="32"/>
      <c r="D54" s="32"/>
      <c r="E54" s="32"/>
      <c r="F54" s="32"/>
      <c r="G54" s="32"/>
      <c r="H54" s="23"/>
      <c r="I54" s="23"/>
      <c r="J54" s="23"/>
      <c r="K54" s="23"/>
    </row>
    <row r="55" spans="1:11" ht="18.75" x14ac:dyDescent="0.3">
      <c r="A55" s="23"/>
      <c r="B55" s="32"/>
      <c r="C55" s="32"/>
      <c r="D55" s="32"/>
      <c r="E55" s="32"/>
      <c r="F55" s="32"/>
      <c r="G55" s="32"/>
      <c r="H55" s="23"/>
      <c r="I55" s="23"/>
      <c r="J55" s="23"/>
      <c r="K55" s="23"/>
    </row>
    <row r="56" spans="1:11" ht="18.75" x14ac:dyDescent="0.3">
      <c r="A56" s="23"/>
      <c r="B56" s="32"/>
      <c r="C56" s="32"/>
      <c r="D56" s="32"/>
      <c r="E56" s="32"/>
      <c r="F56" s="32"/>
      <c r="G56" s="32"/>
      <c r="H56" s="23"/>
      <c r="I56" s="23"/>
      <c r="J56" s="23"/>
      <c r="K56" s="23"/>
    </row>
    <row r="57" spans="1:11" ht="23.45" customHeight="1" x14ac:dyDescent="0.3">
      <c r="A57" s="23"/>
      <c r="B57" s="32"/>
      <c r="C57" s="32"/>
      <c r="D57" s="32"/>
      <c r="E57" s="32"/>
      <c r="F57" s="32"/>
      <c r="G57" s="32"/>
      <c r="H57" s="23"/>
      <c r="I57" s="23"/>
      <c r="J57" s="23"/>
      <c r="K57" s="23"/>
    </row>
    <row r="58" spans="1:11" ht="23.45" customHeight="1" x14ac:dyDescent="0.3">
      <c r="A58" s="23"/>
      <c r="B58" s="32"/>
      <c r="C58" s="32"/>
      <c r="D58" s="32"/>
      <c r="E58" s="32"/>
      <c r="F58" s="32"/>
      <c r="G58" s="32"/>
      <c r="H58" s="23"/>
      <c r="I58" s="23"/>
      <c r="J58" s="23"/>
      <c r="K58" s="23"/>
    </row>
    <row r="59" spans="1:11" ht="16.899999999999999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</sheetData>
  <mergeCells count="50">
    <mergeCell ref="S24:T24"/>
    <mergeCell ref="S25:T25"/>
    <mergeCell ref="S26:T26"/>
    <mergeCell ref="S27:T27"/>
    <mergeCell ref="M21:N21"/>
    <mergeCell ref="M27:N27"/>
    <mergeCell ref="O22:P22"/>
    <mergeCell ref="O24:P24"/>
    <mergeCell ref="O25:P25"/>
    <mergeCell ref="O26:P26"/>
    <mergeCell ref="O27:P27"/>
    <mergeCell ref="Q27:R27"/>
    <mergeCell ref="B15:J15"/>
    <mergeCell ref="A16:B16"/>
    <mergeCell ref="A17:B17"/>
    <mergeCell ref="K29:L29"/>
    <mergeCell ref="K22:L22"/>
    <mergeCell ref="K24:L24"/>
    <mergeCell ref="K25:L25"/>
    <mergeCell ref="K26:L26"/>
    <mergeCell ref="K27:L27"/>
    <mergeCell ref="K28:L28"/>
    <mergeCell ref="H48:I48"/>
    <mergeCell ref="B51:C51"/>
    <mergeCell ref="G18:H18"/>
    <mergeCell ref="H46:I46"/>
    <mergeCell ref="H47:I47"/>
    <mergeCell ref="A33:B33"/>
    <mergeCell ref="C33:J33"/>
    <mergeCell ref="A34:B34"/>
    <mergeCell ref="D34:J34"/>
    <mergeCell ref="A48:C50"/>
    <mergeCell ref="A18:B18"/>
    <mergeCell ref="C18:D18"/>
    <mergeCell ref="A20:F20"/>
    <mergeCell ref="A45:B45"/>
    <mergeCell ref="O28:P28"/>
    <mergeCell ref="O29:P29"/>
    <mergeCell ref="M22:N22"/>
    <mergeCell ref="M24:N24"/>
    <mergeCell ref="M25:N25"/>
    <mergeCell ref="M26:N26"/>
    <mergeCell ref="M28:N28"/>
    <mergeCell ref="M29:N29"/>
    <mergeCell ref="Q28:R28"/>
    <mergeCell ref="Q29:R29"/>
    <mergeCell ref="Q22:R22"/>
    <mergeCell ref="Q24:R24"/>
    <mergeCell ref="Q25:R25"/>
    <mergeCell ref="Q26:R26"/>
  </mergeCells>
  <phoneticPr fontId="27" type="noConversion"/>
  <pageMargins left="0.25" right="0.25" top="0.75" bottom="0.75" header="0.3" footer="0.3"/>
  <pageSetup paperSize="9" scale="4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وليد</vt:lpstr>
      <vt:lpstr>ورقة2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 cars</dc:creator>
  <cp:lastModifiedBy>Ramz</cp:lastModifiedBy>
  <cp:lastPrinted>2025-09-02T10:08:16Z</cp:lastPrinted>
  <dcterms:created xsi:type="dcterms:W3CDTF">2024-04-27T10:06:18Z</dcterms:created>
  <dcterms:modified xsi:type="dcterms:W3CDTF">2025-10-30T13:23:48Z</dcterms:modified>
</cp:coreProperties>
</file>